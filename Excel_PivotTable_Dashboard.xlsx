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90F5881F-AC72-45F0-BE7E-931A101EA6B5}" xr6:coauthVersionLast="47" xr6:coauthVersionMax="47" xr10:uidLastSave="{00000000-0000-0000-0000-000000000000}"/>
  <bookViews>
    <workbookView xWindow="-120" yWindow="-120" windowWidth="29040" windowHeight="15840" activeTab="3" xr2:uid="{00000000-000D-0000-FFFF-FFFF00000000}"/>
  </bookViews>
  <sheets>
    <sheet name="Dashboard_Plan" sheetId="2" r:id="rId1"/>
    <sheet name="Sales_Data" sheetId="1" r:id="rId2"/>
    <sheet name="Supporting_Pivots" sheetId="3" r:id="rId3"/>
    <sheet name="Sales_Dashboard" sheetId="4" r:id="rId4"/>
  </sheets>
  <definedNames>
    <definedName name="_xlnm._FilterDatabase" localSheetId="1"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 i="4" l="1"/>
</calcChain>
</file>

<file path=xl/sharedStrings.xml><?xml version="1.0" encoding="utf-8"?>
<sst xmlns="http://schemas.openxmlformats.org/spreadsheetml/2006/main" count="14159" uniqueCount="2158">
  <si>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</si>
  <si>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</si>
  <si>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</si>
  <si>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</si>
  <si>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</si>
  <si>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</si>
  <si>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</si>
  <si>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</si>
  <si>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</si>
  <si>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</si>
  <si>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</si>
  <si>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</si>
  <si>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</si>
  <si>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</si>
  <si>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</si>
  <si>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</si>
  <si>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</si>
  <si>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</si>
  <si>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</si>
  <si>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</si>
  <si>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</si>
  <si>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</si>
  <si>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</si>
  <si>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</si>
  <si>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</si>
  <si>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</si>
  <si>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</si>
  <si>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</si>
  <si>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</si>
  <si>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</si>
  <si>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</si>
  <si>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</si>
  <si>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</si>
  <si>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</si>
  <si>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</si>
  <si>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</si>
  <si>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</si>
  <si>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</si>
  <si>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</si>
  <si>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</si>
  <si>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</si>
  <si>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</si>
  <si>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</si>
  <si>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</si>
  <si>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</si>
  <si>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</si>
  <si>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</si>
  <si>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</si>
  <si>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</si>
  <si>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</si>
  <si>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</si>
  <si>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</si>
  <si>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</si>
  <si>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</si>
  <si>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</si>
  <si>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</si>
  <si>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</si>
  <si>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</si>
  <si>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</si>
  <si>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</si>
  <si>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</si>
  <si>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</si>
  <si>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</si>
  <si>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</si>
  <si>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</si>
  <si>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</si>
  <si>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</si>
  <si>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</si>
  <si>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</si>
  <si>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</si>
  <si>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</si>
  <si>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</si>
  <si>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</si>
  <si>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</si>
  <si>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</si>
  <si>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</si>
  <si>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</si>
  <si>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</si>
  <si>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</si>
  <si>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</si>
  <si>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</si>
  <si>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</si>
  <si>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</si>
  <si>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</si>
  <si>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</si>
  <si>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</si>
  <si>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</si>
  <si>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</si>
  <si>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</si>
  <si>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</si>
  <si>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</si>
  <si>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</si>
  <si>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</si>
  <si>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</si>
  <si>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</si>
  <si>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</si>
  <si>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</si>
  <si>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</si>
  <si>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</si>
  <si>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</si>
  <si>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</si>
  <si>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</si>
  <si>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</si>
  <si>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</si>
  <si>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</si>
  <si>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</si>
  <si>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</si>
  <si>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</si>
  <si>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</si>
  <si>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</si>
  <si>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</si>
  <si>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</si>
  <si>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</si>
  <si>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</si>
  <si>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</si>
  <si>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</si>
  <si>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</si>
  <si>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</si>
  <si>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</si>
  <si>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</si>
  <si>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</si>
  <si>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</si>
  <si>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</si>
  <si>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</si>
  <si>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</si>
  <si>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</si>
  <si>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</si>
  <si>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</si>
  <si>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</si>
  <si>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</si>
  <si>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</si>
  <si>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</si>
  <si>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</si>
  <si>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</si>
  <si>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</si>
  <si>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</si>
  <si>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</si>
  <si>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</si>
  <si>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</si>
  <si>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</si>
  <si>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</si>
  <si>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</si>
  <si>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</si>
  <si>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</si>
  <si>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</si>
  <si>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</si>
  <si>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</si>
  <si>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</si>
  <si>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</si>
  <si>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</si>
  <si>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</si>
  <si>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</si>
  <si>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</si>
  <si>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</si>
  <si>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</si>
  <si>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</si>
  <si>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</si>
  <si>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</si>
  <si>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</si>
  <si>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</si>
  <si>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</si>
  <si>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</si>
  <si>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</si>
  <si>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</si>
  <si>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</si>
  <si>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</si>
  <si>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</si>
  <si>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</si>
  <si>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</si>
  <si>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</si>
  <si>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</si>
  <si>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</si>
  <si>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</si>
  <si>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</si>
  <si>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</si>
  <si>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</si>
  <si>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</si>
  <si>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</si>
  <si>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</si>
  <si>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</si>
  <si>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</si>
  <si>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</si>
  <si>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</si>
  <si>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</si>
  <si>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</si>
  <si>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</si>
  <si>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</si>
  <si>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</si>
  <si>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</si>
  <si>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</si>
  <si>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</si>
  <si>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</si>
  <si>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</si>
  <si>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</si>
  <si>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</si>
  <si>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</si>
  <si>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</si>
  <si>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</si>
  <si>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</si>
  <si>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</si>
  <si>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</si>
  <si>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</si>
  <si>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</si>
  <si>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</si>
  <si>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</si>
  <si>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</si>
  <si>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</si>
  <si>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</si>
  <si>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</si>
  <si>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</si>
  <si>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</si>
  <si>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</si>
  <si>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</si>
  <si>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</si>
  <si>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</si>
  <si>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</si>
  <si>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</si>
  <si>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</si>
  <si>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</si>
  <si>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</si>
  <si>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</si>
  <si>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</si>
  <si>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</si>
  <si>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</si>
  <si>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</si>
  <si>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</si>
  <si>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</si>
  <si>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</si>
  <si>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</si>
  <si>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</si>
  <si>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</si>
  <si>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</si>
  <si>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</si>
  <si>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</si>
  <si>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</si>
  <si>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</si>
  <si>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</si>
  <si>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</si>
  <si>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</si>
  <si>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</si>
  <si>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</si>
  <si>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</si>
  <si>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</si>
  <si>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</si>
  <si>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</si>
  <si>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</si>
  <si>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</si>
  <si>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</si>
  <si>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</si>
  <si>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</si>
  <si>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</si>
  <si>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</si>
  <si>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</si>
  <si>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</si>
  <si>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</si>
  <si>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</si>
  <si>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</si>
  <si>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</si>
  <si>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</si>
  <si>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</si>
  <si>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</si>
  <si>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</si>
  <si>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</si>
  <si>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</si>
  <si>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</si>
  <si>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</si>
  <si>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</si>
  <si>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</si>
  <si>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</si>
  <si>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</si>
  <si>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</si>
  <si>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</si>
  <si>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</si>
  <si>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</si>
  <si>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</si>
  <si>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</si>
  <si>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</si>
  <si>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</si>
  <si>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</si>
  <si>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</si>
  <si>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</si>
  <si>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</si>
  <si>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</si>
  <si>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</si>
  <si>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</si>
  <si>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</si>
  <si>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</si>
  <si>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</si>
  <si>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</si>
  <si>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</si>
  <si>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</si>
  <si>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</si>
  <si>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</si>
  <si>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</si>
  <si>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</si>
  <si>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</si>
  <si>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</si>
  <si>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</si>
  <si>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</si>
  <si>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</si>
  <si>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</si>
  <si>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</si>
  <si>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</si>
  <si>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</si>
  <si>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</si>
  <si>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</si>
  <si>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</si>
  <si>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</si>
  <si>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</si>
  <si>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</si>
  <si>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</si>
  <si>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</si>
  <si>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</si>
  <si>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</si>
  <si>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</si>
  <si>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</si>
  <si>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</si>
  <si>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</si>
  <si>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</si>
  <si>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</si>
  <si>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</si>
  <si>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</si>
  <si>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</si>
  <si>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</si>
  <si>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</si>
  <si>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</si>
  <si>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</si>
  <si>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</si>
  <si>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</si>
  <si>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</si>
  <si>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</si>
  <si>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</si>
  <si>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</si>
  <si>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</si>
  <si>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</si>
  <si>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</si>
  <si>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</si>
  <si>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</si>
  <si>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</si>
  <si>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</si>
  <si>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</si>
  <si>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</si>
  <si>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</si>
  <si>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</si>
  <si>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</si>
  <si>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</si>
  <si>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</si>
  <si>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</si>
  <si>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</si>
  <si>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</si>
  <si>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</si>
  <si>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</si>
  <si>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</si>
  <si>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</si>
  <si>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</si>
  <si>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</si>
  <si>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</si>
  <si>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</si>
  <si>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</si>
  <si>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</si>
  <si>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</si>
  <si>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</si>
  <si>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</si>
  <si>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</si>
  <si>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</si>
  <si>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</si>
  <si>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</si>
  <si>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</si>
  <si>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</si>
  <si>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</si>
  <si>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</si>
  <si>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</si>
  <si>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</si>
  <si>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</si>
  <si>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</si>
  <si>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</si>
  <si>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</si>
  <si>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</si>
  <si>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</si>
  <si>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</si>
  <si>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</si>
  <si>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</si>
  <si>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</si>
  <si>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</si>
  <si>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</si>
  <si>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</si>
  <si>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</si>
  <si>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</si>
  <si>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</si>
  <si>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</si>
  <si>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</si>
  <si>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</si>
  <si>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</si>
  <si>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</si>
  <si>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</si>
  <si>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</si>
  <si>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</si>
  <si>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</si>
  <si>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</si>
  <si>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</si>
  <si>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</si>
  <si>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</si>
  <si>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</si>
  <si>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</si>
  <si>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</si>
  <si>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</si>
  <si>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</si>
  <si>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</si>
  <si>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</si>
  <si>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</si>
  <si>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</si>
  <si>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</si>
  <si>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</si>
  <si>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</si>
  <si>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</si>
  <si>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</si>
  <si>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</si>
  <si>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</si>
  <si>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</si>
  <si>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</si>
  <si>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</si>
  <si>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</si>
  <si>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</si>
  <si>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</si>
  <si>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</si>
  <si>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</si>
  <si>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</si>
  <si>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</si>
  <si>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</si>
  <si>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</si>
  <si>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</si>
  <si>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</si>
  <si>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</si>
  <si>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</si>
  <si>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</si>
  <si>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</si>
  <si>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</si>
  <si>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</si>
  <si>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</si>
  <si>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</si>
  <si>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</si>
  <si>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</si>
  <si>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</si>
  <si>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</si>
  <si>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</si>
  <si>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</si>
  <si>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</si>
  <si>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</si>
  <si>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</si>
  <si>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</si>
  <si>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</si>
  <si>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</si>
  <si>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</si>
  <si>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</si>
  <si>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</si>
  <si>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</si>
  <si>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</si>
  <si>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</si>
  <si>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</si>
  <si>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</si>
  <si>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</si>
  <si>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</si>
  <si>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</si>
  <si>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</si>
  <si>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</si>
  <si>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</si>
  <si>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</si>
  <si>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</si>
  <si>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</si>
  <si>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</si>
  <si>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</si>
  <si>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</si>
  <si>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</si>
  <si>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</si>
  <si>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</si>
  <si>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</si>
  <si>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</si>
  <si>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</si>
  <si>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</si>
  <si>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</si>
  <si>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</si>
  <si>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</si>
  <si>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</si>
  <si>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</si>
  <si>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</si>
  <si>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</si>
  <si>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</si>
  <si>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</si>
  <si>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</si>
  <si>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</si>
  <si>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</si>
  <si>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</si>
  <si>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</si>
  <si>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</si>
  <si>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</si>
  <si>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</si>
  <si>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</si>
  <si>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</si>
  <si>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</si>
  <si>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</si>
  <si>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</si>
  <si>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</si>
  <si>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</si>
  <si>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</si>
  <si>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</si>
  <si>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</si>
  <si>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</si>
  <si>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</si>
  <si>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</si>
  <si>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</si>
  <si>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</si>
  <si>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</si>
  <si>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</si>
  <si>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</si>
  <si>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</si>
  <si>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</si>
  <si>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</si>
  <si>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</si>
  <si>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</si>
  <si>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</si>
  <si>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</si>
  <si>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</si>
  <si>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</si>
  <si>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</si>
  <si>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</si>
  <si>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</si>
  <si>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</si>
  <si>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</si>
  <si>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</si>
  <si>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</si>
  <si>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</si>
  <si>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</si>
  <si>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</si>
  <si>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</si>
  <si>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</si>
  <si>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</si>
  <si>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</si>
  <si>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</si>
  <si>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</si>
  <si>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</si>
  <si>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</si>
  <si>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</si>
  <si>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</si>
  <si>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</si>
  <si>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</si>
  <si>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</si>
  <si>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</si>
  <si>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</si>
  <si>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</si>
  <si>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</si>
  <si>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</si>
  <si>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</si>
  <si>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</si>
  <si>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</si>
  <si>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</si>
  <si>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</si>
  <si>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</si>
  <si>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</si>
  <si>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</si>
  <si>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</si>
  <si>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</si>
  <si>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</si>
  <si>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</si>
  <si>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</si>
  <si>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</si>
  <si>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</si>
  <si>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</si>
  <si>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</si>
  <si>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</si>
  <si>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</si>
  <si>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</si>
  <si>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</si>
  <si>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</si>
  <si>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</si>
  <si>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</si>
  <si>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</si>
  <si>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</si>
  <si>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</si>
  <si>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</si>
  <si>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</si>
  <si>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</si>
  <si>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</si>
  <si>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</si>
  <si>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</si>
  <si>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</si>
  <si>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</si>
  <si>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</si>
  <si>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</si>
  <si>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</si>
  <si>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</si>
  <si>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</si>
  <si>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</si>
  <si>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</si>
  <si>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</si>
  <si>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</si>
  <si>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</si>
  <si>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</si>
  <si>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</si>
  <si>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</si>
  <si>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</si>
  <si>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</si>
  <si>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</si>
  <si>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</si>
  <si>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</si>
  <si>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</si>
  <si>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</si>
  <si>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</si>
  <si>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</si>
  <si>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</si>
  <si>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</si>
  <si>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</si>
  <si>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</si>
  <si>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</si>
  <si>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</si>
  <si>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</si>
  <si>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</si>
  <si>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</si>
  <si>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</si>
  <si>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</si>
  <si>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</si>
  <si>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</si>
  <si>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</si>
  <si>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</si>
  <si>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</si>
  <si>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</si>
  <si>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</si>
  <si>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</si>
  <si>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</si>
  <si>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</si>
  <si>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</si>
  <si>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</si>
  <si>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</si>
  <si>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</si>
  <si>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</si>
  <si>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</si>
  <si>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</si>
  <si>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</si>
  <si>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</si>
  <si>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</si>
  <si>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</si>
  <si>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</si>
  <si>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</si>
  <si>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</si>
  <si>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</si>
  <si>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</si>
  <si>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</si>
  <si>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</si>
  <si>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</si>
  <si>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</si>
  <si>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</si>
  <si>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</si>
  <si>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</si>
  <si>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</si>
  <si>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</si>
  <si>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</si>
  <si>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</si>
  <si>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</si>
  <si>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</si>
  <si>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</si>
  <si>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</si>
  <si>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</si>
  <si>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</si>
  <si>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</si>
  <si>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</si>
  <si>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</si>
  <si>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</si>
  <si>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</si>
  <si>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</si>
  <si>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</si>
  <si>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</si>
  <si>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</si>
  <si>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</si>
  <si>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</si>
  <si>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</si>
  <si>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</si>
  <si>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</si>
  <si>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</si>
  <si>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</si>
  <si>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</si>
  <si>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</si>
  <si>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</si>
  <si>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</si>
  <si>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</si>
  <si>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</si>
  <si>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</si>
  <si>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</si>
  <si>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</si>
  <si>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</si>
  <si>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</si>
  <si>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</si>
  <si>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</si>
  <si>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</si>
  <si>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</si>
  <si>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</si>
  <si>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</si>
  <si>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</si>
  <si>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</si>
  <si>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</si>
  <si>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</si>
  <si>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</si>
  <si>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</si>
  <si>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</si>
  <si>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</si>
  <si>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</si>
  <si>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</si>
  <si>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</si>
  <si>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</si>
  <si>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</si>
  <si>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</si>
  <si>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</si>
  <si>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</si>
  <si>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</si>
  <si>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</si>
  <si>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</si>
  <si>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</si>
  <si>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</si>
  <si>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</si>
  <si>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</si>
  <si>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</si>
  <si>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</si>
  <si>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</si>
  <si>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</si>
  <si>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</si>
  <si>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</si>
  <si>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</si>
  <si>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</si>
  <si>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</si>
  <si>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</si>
  <si>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</si>
  <si>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</si>
  <si>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</si>
  <si>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</si>
  <si>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</si>
  <si>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</si>
  <si>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</si>
  <si>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</si>
  <si>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</si>
  <si>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</si>
  <si>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</si>
  <si>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</si>
  <si>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</si>
  <si>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</si>
  <si>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</si>
  <si>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</si>
  <si>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</si>
  <si>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</si>
  <si>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</si>
  <si>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</si>
  <si>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</si>
  <si>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</si>
  <si>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</si>
  <si>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</si>
  <si>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</si>
  <si>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</si>
  <si>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</si>
  <si>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</si>
  <si>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</si>
  <si>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</si>
  <si>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</si>
  <si>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</si>
  <si>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</si>
  <si>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</si>
  <si>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</si>
  <si>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</si>
  <si>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</si>
  <si>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</si>
  <si>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</si>
  <si>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</si>
  <si>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</si>
  <si>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</si>
  <si>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</si>
  <si>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</si>
  <si>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</si>
  <si>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</si>
  <si>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</si>
  <si>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</si>
  <si>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</si>
  <si>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</si>
  <si>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</si>
  <si>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</si>
  <si>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</si>
  <si>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</si>
  <si>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</si>
  <si>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</si>
  <si>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</si>
  <si>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</si>
  <si>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</si>
  <si>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</si>
  <si>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</si>
  <si>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</si>
  <si>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</si>
  <si>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</si>
  <si>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</si>
  <si>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</si>
  <si>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</si>
  <si>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</si>
  <si>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</si>
  <si>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</si>
  <si>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</si>
  <si>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</si>
  <si>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</si>
  <si>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</si>
  <si>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</si>
  <si>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</si>
  <si>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</si>
  <si>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</si>
  <si>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</si>
  <si>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</si>
  <si>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</si>
  <si>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</si>
  <si>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</si>
  <si>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</si>
  <si>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</si>
  <si>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</si>
  <si>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</si>
  <si>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</si>
  <si>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</si>
  <si>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</si>
  <si>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</si>
  <si>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</si>
  <si>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</si>
  <si>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</si>
  <si>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</si>
  <si>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</si>
  <si>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</si>
  <si>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</si>
  <si>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</si>
  <si>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</si>
  <si>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</si>
  <si>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</si>
  <si>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</si>
  <si>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</si>
  <si>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</si>
  <si>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</si>
  <si>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</si>
  <si>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</si>
  <si>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</si>
  <si>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</si>
  <si>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</si>
  <si>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</si>
  <si>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</si>
  <si>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</si>
  <si>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</si>
  <si>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</si>
  <si>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</si>
  <si>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</si>
  <si>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</si>
  <si>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</si>
  <si>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</si>
  <si>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</si>
  <si>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</si>
  <si>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</si>
  <si>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</si>
  <si>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</si>
  <si>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</si>
  <si>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</si>
  <si>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</si>
  <si>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</si>
  <si>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</si>
  <si>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</si>
  <si>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</si>
  <si>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</si>
  <si>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</si>
  <si>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</si>
  <si>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</si>
  <si>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</si>
  <si>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</si>
  <si>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</si>
  <si>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</si>
  <si>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</si>
  <si>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</si>
  <si>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</si>
  <si>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</si>
  <si>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</si>
  <si>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</si>
  <si>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</si>
  <si>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</si>
  <si>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</si>
  <si>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</si>
  <si>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</si>
  <si>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</si>
  <si>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</si>
  <si>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</si>
  <si>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</si>
  <si>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</si>
  <si>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</si>
  <si>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</si>
  <si>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</si>
  <si>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</si>
  <si>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</si>
  <si>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</si>
  <si>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</si>
  <si>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</si>
  <si>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</si>
  <si>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</si>
  <si>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</si>
  <si>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</si>
  <si>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</si>
  <si>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</si>
  <si>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</si>
  <si>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</si>
  <si>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</si>
  <si>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</si>
  <si>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</si>
  <si>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</si>
  <si>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</si>
  <si>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</si>
  <si>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</si>
  <si>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</si>
  <si>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</si>
  <si>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</si>
  <si>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</si>
  <si>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</si>
  <si>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</si>
  <si>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</si>
  <si>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</si>
  <si>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</si>
  <si>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</si>
  <si>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</si>
  <si>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</si>
  <si>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</si>
  <si>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</si>
  <si>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</si>
  <si>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</si>
  <si>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</si>
  <si>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</si>
  <si>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</si>
  <si>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</si>
  <si>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</si>
  <si>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</si>
  <si>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</si>
  <si>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</si>
  <si>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</si>
  <si>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</si>
  <si>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</si>
  <si>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</si>
  <si>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</si>
  <si>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</si>
  <si>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</si>
  <si>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</si>
  <si>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</si>
  <si>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</si>
  <si>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</si>
  <si>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</si>
  <si>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</si>
  <si>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</si>
  <si>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</si>
  <si>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</si>
  <si>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</si>
  <si>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</si>
  <si>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</si>
  <si>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</si>
  <si>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</si>
  <si>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</si>
  <si>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</si>
  <si>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</si>
  <si>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</si>
  <si>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</si>
  <si>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</si>
  <si>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</si>
  <si>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</si>
  <si>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</si>
  <si>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</si>
  <si>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</si>
  <si>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</si>
  <si>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</si>
  <si>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</si>
  <si>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</si>
  <si>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</si>
  <si>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</si>
  <si>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</si>
  <si>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</si>
  <si>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</si>
  <si>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</si>
  <si>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</si>
  <si>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</si>
  <si>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</si>
  <si>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</si>
  <si>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</si>
  <si>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</si>
  <si>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</si>
  <si>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</si>
  <si>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</si>
  <si>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</si>
  <si>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</si>
  <si>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</si>
  <si>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</si>
  <si>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</si>
  <si>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</si>
  <si>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</si>
  <si>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</si>
  <si>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</si>
  <si>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</si>
  <si>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</si>
  <si>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</si>
  <si>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</si>
  <si>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</si>
  <si>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</si>
  <si>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</si>
  <si>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</si>
  <si>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</si>
  <si>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</si>
  <si>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</si>
  <si>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</si>
  <si>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</si>
  <si>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</si>
  <si>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</si>
  <si>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</si>
  <si>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</si>
  <si>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</si>
  <si>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</si>
  <si>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</si>
  <si>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</si>
  <si>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</si>
  <si>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</si>
  <si>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</si>
  <si>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</si>
  <si>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</si>
  <si>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</si>
  <si>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</si>
  <si>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</si>
  <si>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</si>
  <si>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</si>
  <si>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</si>
  <si>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</si>
  <si>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</si>
  <si>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</si>
  <si>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</si>
  <si>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</si>
  <si>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</si>
  <si>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</si>
  <si>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</si>
  <si>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</si>
  <si>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</si>
  <si>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</si>
  <si>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</si>
  <si>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</si>
  <si>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</si>
  <si>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</si>
  <si>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</si>
  <si>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</si>
  <si>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</si>
  <si>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</si>
  <si>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</si>
  <si>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</si>
  <si>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</si>
  <si>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</si>
  <si>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</si>
  <si>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</si>
  <si>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</si>
  <si>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</si>
  <si>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</si>
  <si>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</si>
  <si>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</si>
  <si>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</si>
  <si>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</si>
  <si>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</si>
  <si>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</si>
  <si>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</si>
  <si>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</si>
  <si>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</si>
  <si>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</si>
  <si>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</si>
  <si>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</si>
  <si>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</si>
  <si>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</si>
  <si>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</si>
  <si>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</si>
  <si>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</si>
  <si>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</si>
  <si>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</si>
  <si>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</si>
  <si>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</si>
  <si>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</si>
  <si>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</si>
  <si>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</si>
  <si>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</si>
  <si>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</si>
  <si>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</si>
  <si>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</si>
  <si>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</si>
  <si>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</si>
  <si>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</si>
  <si>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</si>
  <si>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</si>
  <si>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</si>
  <si>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</si>
  <si>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</si>
  <si>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</si>
  <si>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</si>
  <si>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</si>
  <si>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</si>
  <si>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</si>
  <si>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</si>
  <si>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</si>
  <si>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</si>
  <si>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</si>
  <si>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</si>
  <si>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</si>
  <si>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</si>
  <si>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</si>
  <si>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</si>
  <si>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</si>
  <si>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</si>
  <si>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</si>
  <si>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</si>
  <si>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</si>
  <si>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</si>
  <si>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</si>
  <si>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</si>
  <si>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</si>
  <si>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</si>
  <si>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</si>
  <si>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</si>
  <si>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</si>
  <si>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</si>
  <si>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</si>
  <si>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</si>
  <si>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</si>
  <si>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</si>
  <si>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</si>
  <si>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</si>
  <si>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</si>
  <si>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</si>
  <si>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</si>
  <si>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</si>
  <si>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</si>
  <si>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</si>
  <si>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</si>
  <si>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</si>
  <si>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</si>
  <si>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</si>
  <si>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</si>
  <si>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</si>
  <si>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</si>
  <si>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</si>
  <si>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</si>
  <si>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</si>
  <si>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</si>
  <si>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</si>
  <si>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</si>
  <si>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</si>
  <si>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</si>
  <si>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</si>
  <si>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</si>
  <si>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</si>
  <si>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</si>
  <si>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</si>
  <si>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</si>
  <si>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</si>
  <si>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</si>
  <si>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</si>
  <si>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</si>
  <si>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</si>
  <si>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</si>
  <si>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</si>
  <si>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</si>
  <si>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</si>
  <si>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</si>
  <si>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</si>
  <si>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</si>
  <si>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</si>
  <si>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</si>
  <si>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</si>
  <si>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</si>
  <si>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</si>
  <si>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</si>
  <si>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</si>
  <si>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</si>
  <si>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</si>
  <si>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</si>
  <si>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</si>
  <si>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</si>
  <si>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</si>
  <si>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</si>
  <si>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</si>
  <si>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</si>
  <si>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</si>
  <si>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</si>
  <si>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</si>
  <si>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</si>
  <si>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</si>
  <si>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</si>
  <si>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</si>
  <si>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</si>
  <si>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</si>
  <si>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</si>
  <si>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</si>
  <si>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</si>
  <si>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</si>
  <si>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</si>
  <si>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</si>
  <si>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</si>
  <si>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</si>
  <si>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</si>
  <si>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</si>
  <si>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</si>
  <si>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</si>
  <si>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</si>
  <si>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</si>
  <si>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</si>
  <si>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</si>
  <si>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</si>
  <si>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</si>
  <si>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</si>
  <si>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</si>
  <si>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</si>
  <si>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</si>
  <si>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</si>
  <si>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</si>
  <si>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</si>
  <si>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</si>
  <si>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</si>
  <si>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</si>
  <si>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</si>
  <si>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</si>
  <si>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</si>
  <si>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</si>
  <si>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</si>
  <si>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</si>
  <si>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</si>
  <si>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</si>
  <si>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</si>
  <si>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</si>
  <si>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</si>
  <si>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</si>
  <si>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</si>
  <si>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</si>
  <si>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</si>
  <si>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</si>
  <si>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</si>
  <si>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</si>
  <si>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</si>
  <si>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</si>
  <si>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</si>
  <si>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</si>
  <si>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</si>
  <si>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</si>
  <si>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</si>
  <si>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</si>
  <si>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</si>
  <si>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</si>
  <si>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</si>
  <si>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</si>
  <si>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</si>
  <si>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</si>
  <si>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</si>
  <si>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</si>
  <si>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</si>
  <si>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</si>
  <si>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</si>
  <si>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</si>
  <si>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</si>
  <si>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</si>
  <si>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</si>
  <si>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</si>
  <si>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</si>
  <si>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</si>
  <si>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</si>
  <si>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</si>
  <si>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</si>
  <si>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</si>
  <si>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</si>
  <si>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</si>
  <si>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</si>
  <si>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</si>
  <si>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</si>
  <si>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</si>
  <si>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</si>
  <si>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</si>
  <si>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</si>
  <si>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</si>
  <si>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</si>
  <si>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</si>
  <si>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</si>
  <si>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</si>
  <si>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</si>
  <si>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</si>
  <si>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</si>
  <si>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</si>
  <si>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</si>
  <si>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</si>
  <si>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</si>
  <si>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</si>
  <si>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</si>
  <si>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</si>
  <si>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</si>
  <si>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</si>
  <si>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</si>
  <si>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</si>
  <si>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</si>
  <si>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</si>
  <si>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</si>
  <si>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</si>
  <si>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</si>
  <si>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</si>
  <si>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</si>
  <si>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</si>
  <si>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</si>
  <si>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</si>
  <si>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</si>
  <si>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</si>
  <si>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</si>
  <si>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</si>
  <si>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</si>
  <si>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</si>
  <si>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</si>
  <si>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</si>
  <si>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</si>
  <si>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</si>
  <si>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</si>
  <si>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</si>
  <si>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</si>
  <si>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</si>
  <si>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</si>
  <si>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</si>
  <si>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</si>
  <si>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</si>
  <si>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</si>
  <si>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</si>
  <si>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</si>
  <si>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</si>
  <si>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</si>
  <si>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</si>
  <si>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</si>
  <si>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</si>
  <si>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</si>
  <si>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</si>
  <si>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</si>
  <si>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</si>
  <si>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</si>
  <si>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</si>
  <si>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</si>
  <si>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</si>
  <si>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</si>
  <si>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</si>
  <si>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</si>
  <si>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</si>
  <si>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</si>
  <si>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</si>
  <si>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</si>
  <si>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</si>
  <si>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</si>
  <si>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</si>
  <si>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</si>
  <si>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</si>
  <si>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</si>
  <si>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</si>
  <si>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</si>
  <si>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</si>
  <si>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</si>
  <si>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</si>
  <si>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</si>
  <si>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</si>
  <si>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</si>
  <si>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</si>
  <si>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</si>
  <si>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</si>
  <si>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</si>
  <si>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</si>
  <si>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</si>
  <si>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</si>
  <si>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</si>
  <si>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</si>
  <si>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</si>
  <si>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</si>
  <si>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</si>
  <si>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</si>
  <si>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</si>
  <si>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</si>
  <si>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</si>
  <si>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</si>
  <si>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</si>
  <si>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</si>
  <si>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</si>
  <si>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</si>
  <si>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</si>
  <si>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</si>
  <si>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</si>
  <si>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</si>
  <si>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</si>
  <si>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</si>
  <si>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</si>
  <si>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</si>
  <si>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</si>
  <si>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</si>
  <si>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</si>
  <si>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</si>
  <si>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</si>
  <si>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</si>
  <si>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</si>
  <si>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</si>
  <si>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</si>
  <si>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</si>
  <si>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</si>
  <si>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</si>
  <si>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</si>
  <si>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</si>
  <si>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</si>
  <si>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</si>
  <si>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</si>
  <si>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</si>
  <si>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</si>
  <si>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</si>
  <si>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</si>
  <si>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</si>
  <si>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</si>
  <si>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</si>
  <si>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</si>
  <si>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</si>
  <si>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</si>
  <si>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</si>
  <si>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</si>
  <si>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</si>
  <si>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</si>
  <si>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</si>
  <si>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</si>
  <si>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</si>
  <si>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</si>
  <si>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</si>
  <si>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</si>
  <si>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</si>
  <si>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</si>
  <si>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</si>
  <si>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</si>
  <si>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</si>
  <si>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</si>
  <si>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</si>
  <si>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</si>
  <si>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</si>
  <si>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</si>
  <si>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</si>
  <si>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</si>
  <si>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</si>
  <si>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</si>
  <si>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</si>
  <si>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</si>
  <si>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</si>
  <si>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</si>
  <si>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</si>
  <si>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</si>
  <si>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</si>
  <si>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</si>
  <si>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</si>
  <si>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</si>
  <si>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</si>
  <si>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</si>
  <si>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</si>
  <si>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</si>
  <si>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</si>
  <si>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</si>
  <si>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</si>
  <si>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</si>
  <si>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</si>
  <si>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</si>
  <si>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</si>
  <si>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</si>
  <si>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</si>
  <si>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</si>
  <si>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</si>
  <si>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</si>
  <si>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</si>
  <si>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</si>
  <si>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</si>
  <si>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</si>
  <si>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</si>
  <si>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</si>
  <si>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</si>
  <si>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</si>
  <si>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</si>
  <si>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</si>
  <si>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</si>
  <si>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</si>
  <si>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</si>
  <si>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</si>
  <si>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</si>
  <si>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</si>
  <si>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</si>
  <si>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</si>
  <si>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</si>
  <si>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</si>
  <si>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</si>
  <si>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</si>
  <si>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</si>
  <si>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</si>
  <si>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</si>
  <si>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</si>
  <si>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</si>
  <si>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</si>
  <si>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</si>
  <si>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</si>
  <si>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</si>
  <si>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</si>
  <si>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</si>
  <si>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</si>
  <si>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</si>
  <si>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</si>
  <si>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</si>
  <si>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</si>
  <si>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</si>
  <si>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</si>
  <si>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</si>
  <si>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</si>
  <si>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</si>
  <si>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</si>
  <si>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</si>
  <si>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</si>
  <si>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</si>
  <si>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</si>
  <si>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</si>
  <si>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</si>
  <si>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</si>
  <si>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</si>
  <si>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</si>
  <si>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</si>
  <si>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</si>
  <si>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</si>
  <si>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</si>
  <si>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</si>
  <si>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</si>
  <si>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</si>
  <si>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</si>
  <si>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</si>
  <si>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</si>
  <si>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</si>
  <si>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</si>
  <si>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</si>
  <si>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</si>
  <si>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</si>
  <si>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</si>
  <si>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</si>
  <si>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</si>
  <si>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</si>
  <si>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</si>
  <si>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</si>
  <si>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</si>
  <si>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</si>
  <si>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</si>
  <si>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</si>
  <si>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</si>
  <si>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</si>
  <si>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</si>
  <si>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</si>
  <si>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</si>
  <si>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</si>
  <si>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</si>
  <si>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</si>
  <si>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</si>
  <si>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</si>
  <si>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</si>
  <si>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</si>
  <si>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</si>
  <si>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</si>
  <si>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</si>
  <si>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</si>
  <si>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</si>
  <si>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</si>
  <si>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</si>
  <si>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</si>
  <si>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</si>
  <si>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</si>
  <si>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</si>
  <si>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</si>
  <si>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</si>
  <si>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</si>
  <si>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</si>
  <si>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</si>
  <si>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</si>
  <si>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</si>
  <si>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</si>
  <si>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</si>
  <si>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</si>
  <si>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</si>
  <si>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</si>
  <si>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</si>
  <si>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</si>
  <si>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</si>
  <si>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</si>
  <si>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</si>
  <si>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</si>
  <si>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</si>
  <si>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</si>
  <si>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</si>
  <si>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</si>
  <si>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</si>
  <si>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</si>
  <si>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</si>
  <si>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</si>
  <si>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</si>
  <si>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</si>
  <si>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</si>
  <si>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</si>
  <si>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</si>
  <si>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</si>
  <si>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</si>
  <si>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</si>
  <si>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</si>
  <si>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</si>
  <si>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</si>
  <si>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</si>
  <si>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</si>
  <si>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</si>
  <si>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</si>
  <si>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</si>
  <si>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</si>
  <si>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</si>
  <si>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</si>
  <si>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</si>
  <si>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</si>
  <si>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</si>
  <si>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</si>
  <si>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</si>
  <si>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</si>
  <si>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</si>
  <si>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</si>
  <si>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</si>
  <si>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</si>
  <si>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</si>
  <si>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</si>
  <si>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</si>
  <si>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</si>
  <si>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</si>
  <si>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</si>
  <si>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</si>
  <si>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</si>
  <si>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</si>
  <si>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</si>
  <si>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</si>
  <si>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</si>
  <si>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</si>
  <si>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</si>
  <si>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</si>
  <si>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</si>
  <si>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</si>
  <si>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</si>
  <si>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</si>
  <si>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</si>
  <si>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</si>
  <si>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</si>
  <si>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</si>
  <si>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</si>
  <si>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</si>
  <si>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</si>
  <si>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</si>
  <si>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</si>
  <si>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</si>
  <si>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</si>
  <si>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</si>
  <si>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</si>
  <si>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</si>
  <si>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</si>
  <si>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</si>
  <si>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</si>
  <si>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</si>
  <si>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</si>
  <si>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</si>
  <si>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</si>
  <si>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</si>
  <si>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</si>
  <si>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</si>
  <si>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</si>
  <si>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</si>
  <si>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</si>
  <si>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</si>
  <si>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</si>
  <si>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</si>
  <si>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</si>
  <si>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</si>
  <si>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</si>
  <si>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</si>
  <si>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</si>
  <si>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</si>
  <si>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</si>
  <si>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</si>
  <si>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</si>
  <si>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</si>
  <si>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</si>
  <si>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</si>
  <si>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</si>
  <si>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</si>
  <si>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</si>
  <si>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</si>
  <si>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</si>
  <si>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</si>
  <si>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</si>
  <si>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</si>
  <si>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</si>
  <si>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</si>
  <si>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</si>
  <si>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</si>
  <si>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</si>
  <si>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</si>
  <si>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</si>
  <si>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</si>
  <si>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</si>
  <si>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</si>
  <si>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</si>
  <si>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</si>
  <si>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</si>
  <si>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</si>
  <si>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</si>
  <si>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</si>
  <si>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</si>
  <si>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</si>
  <si>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</si>
  <si>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</si>
  <si>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</si>
  <si>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</si>
  <si>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</si>
  <si>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</si>
  <si>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</si>
  <si>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</si>
  <si>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</si>
  <si>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</si>
  <si>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</si>
  <si>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</si>
  <si>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</si>
  <si>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</si>
  <si>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</si>
  <si>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</si>
  <si>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</si>
  <si>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</si>
  <si>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</si>
  <si>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</si>
  <si>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</si>
  <si>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</si>
  <si>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</si>
  <si>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</si>
  <si>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</si>
  <si>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</si>
  <si>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</si>
  <si>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</si>
  <si>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</si>
  <si>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</si>
  <si>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</si>
  <si>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</si>
  <si>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</si>
  <si>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</si>
  <si>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</si>
  <si>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</si>
  <si>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</si>
  <si>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</si>
  <si>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</si>
  <si>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</si>
  <si>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</si>
  <si>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</si>
  <si>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</si>
  <si>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</si>
  <si>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</si>
  <si>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</si>
  <si>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</si>
  <si>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</si>
  <si>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</si>
  <si>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</si>
  <si>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</si>
  <si>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</si>
  <si>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</si>
  <si>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</si>
  <si>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</si>
  <si>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</si>
  <si>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</si>
  <si>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</si>
  <si>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</si>
  <si>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</si>
  <si>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</si>
  <si>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</si>
  <si>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</si>
  <si>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</si>
  <si>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</si>
  <si>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</si>
  <si>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</si>
  <si>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</si>
  <si>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</si>
  <si>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</si>
  <si>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</si>
  <si>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</si>
  <si>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</si>
  <si>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</si>
  <si>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</si>
  <si>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</si>
  <si>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</si>
  <si>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</si>
  <si>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</si>
  <si>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</si>
  <si>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</si>
  <si>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</si>
  <si>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</si>
  <si>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</si>
  <si>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</si>
  <si>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</si>
  <si>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</si>
  <si>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</si>
  <si>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</si>
  <si>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</si>
  <si>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</si>
  <si>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</si>
  <si>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</si>
  <si>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</si>
  <si>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</si>
  <si>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</si>
  <si>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</si>
  <si>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</si>
  <si>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</si>
  <si>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</si>
  <si>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</si>
  <si>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</si>
  <si>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</si>
  <si>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</si>
  <si>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</si>
  <si>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</si>
  <si>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</si>
  <si>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</si>
  <si>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</si>
  <si>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</si>
  <si>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</si>
  <si>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</si>
  <si>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</si>
  <si>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</si>
  <si>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</si>
  <si>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</si>
  <si>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</si>
  <si>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</si>
  <si>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</si>
  <si>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</si>
  <si>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</si>
  <si>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</si>
  <si>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</si>
  <si>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</si>
  <si>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</si>
  <si>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</si>
  <si>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</si>
  <si>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</si>
  <si>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</si>
  <si>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</si>
  <si>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</si>
  <si>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</si>
  <si>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</si>
  <si>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</si>
  <si>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</si>
  <si>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</si>
  <si>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</si>
  <si>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</si>
  <si>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</si>
  <si>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</si>
  <si>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</si>
  <si>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</si>
  <si>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</si>
  <si>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</si>
  <si>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</si>
  <si>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</si>
  <si>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</si>
  <si>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</si>
  <si>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</si>
  <si>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</si>
  <si>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</si>
  <si>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</si>
  <si>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</si>
  <si>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</si>
  <si>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</si>
  <si>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</si>
  <si>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</si>
  <si>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</si>
  <si>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</si>
  <si>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</si>
  <si>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</si>
  <si>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</si>
  <si>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</si>
  <si>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</si>
  <si>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</si>
  <si>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</si>
  <si>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</si>
  <si>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</si>
  <si>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</si>
  <si>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</si>
  <si>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</si>
  <si>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</si>
  <si>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</si>
  <si>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</si>
  <si>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</si>
  <si>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</si>
  <si>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</si>
  <si>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</si>
  <si>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</si>
  <si>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</si>
  <si>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</si>
  <si>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</si>
  <si>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</si>
  <si>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</si>
  <si>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</si>
  <si>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</si>
  <si>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</si>
  <si>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</si>
  <si>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</si>
  <si>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</si>
  <si>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</si>
  <si>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</si>
  <si>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</si>
  <si>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</si>
  <si>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</si>
  <si>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</si>
  <si>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</si>
  <si>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</si>
  <si>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</si>
  <si>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</si>
  <si>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</si>
  <si>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</si>
  <si>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</si>
  <si>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</si>
  <si>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</si>
  <si>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</si>
  <si>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</si>
  <si>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</si>
  <si>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</si>
  <si>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</si>
  <si>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</si>
  <si>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</si>
  <si>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</si>
  <si>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</si>
  <si>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</si>
  <si>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</si>
  <si>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</si>
  <si>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</si>
  <si>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</si>
  <si>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</si>
  <si>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</si>
  <si>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</si>
  <si>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</si>
  <si>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</si>
  <si>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</si>
  <si>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</si>
  <si>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</si>
  <si>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</si>
  <si>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</si>
  <si>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</si>
  <si>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</si>
  <si>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</si>
  <si>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</si>
  <si>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</si>
  <si>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</si>
  <si>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</si>
  <si>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</si>
  <si>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</si>
  <si>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</si>
  <si>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</si>
  <si>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</si>
  <si>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</si>
  <si>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</si>
  <si>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</si>
  <si>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</si>
  <si>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</si>
  <si>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</si>
  <si>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</si>
  <si>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</si>
  <si>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</si>
  <si>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</si>
  <si>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</si>
  <si>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</si>
  <si>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</si>
  <si>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</si>
  <si>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</si>
  <si>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</si>
  <si>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</si>
  <si>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</si>
  <si>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</si>
  <si>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</si>
  <si>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</si>
  <si>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</si>
  <si>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</si>
  <si>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</si>
  <si>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</si>
  <si>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</si>
  <si>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</si>
  <si>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</si>
  <si>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</si>
  <si>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</si>
  <si>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</si>
  <si>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</si>
  <si>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</si>
  <si>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</si>
  <si>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</si>
  <si>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</si>
  <si>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</si>
  <si>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</si>
  <si>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</si>
  <si>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</si>
  <si>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</si>
  <si>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</si>
  <si>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</si>
  <si>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</si>
  <si>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</si>
  <si>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</si>
  <si>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</si>
  <si>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</si>
  <si>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</si>
  <si>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</si>
  <si>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</si>
  <si>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</si>
  <si>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</si>
  <si>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</si>
  <si>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</si>
  <si>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</si>
  <si>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</si>
  <si>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</si>
  <si>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</si>
  <si>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</si>
  <si>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</si>
  <si>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</si>
  <si>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</si>
  <si>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</si>
  <si>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</si>
  <si>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</si>
  <si>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</si>
  <si>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</si>
  <si>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</si>
  <si>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</si>
  <si>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</si>
  <si>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</si>
  <si>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</si>
  <si>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</si>
  <si>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</si>
  <si>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</si>
  <si>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</si>
  <si>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</si>
  <si>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</si>
  <si>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</si>
  <si>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</si>
  <si>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</si>
  <si>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</si>
  <si>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</si>
  <si>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</si>
  <si>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</si>
  <si>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</si>
  <si>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</si>
  <si>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</si>
  <si>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</si>
  <si>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</si>
  <si>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</si>
  <si>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</si>
  <si>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</si>
  <si>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</si>
  <si>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</si>
  <si>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</si>
  <si>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</si>
  <si>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</si>
  <si>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</si>
  <si>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</si>
  <si>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</si>
  <si>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</si>
  <si>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</si>
  <si>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</si>
  <si>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</si>
  <si>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</si>
  <si>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</si>
  <si>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</si>
  <si>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</si>
  <si>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</si>
  <si>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</si>
  <si>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</si>
  <si>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</si>
  <si>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</si>
  <si>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</si>
  <si>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</si>
  <si>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</si>
  <si>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</si>
  <si>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</si>
  <si>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</si>
  <si>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</si>
  <si>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</si>
  <si>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</si>
  <si>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</si>
  <si>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</si>
  <si>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</si>
  <si>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Column</t>
  </si>
  <si>
    <t>What it means</t>
  </si>
  <si>
    <t>Unique order reference</t>
  </si>
  <si>
    <t>Order date</t>
  </si>
  <si>
    <t>Sales region</t>
  </si>
  <si>
    <t>Online, retail, marketplace, etc.</t>
  </si>
  <si>
    <t>New or returning customer</t>
  </si>
  <si>
    <t>Product grouping</t>
  </si>
  <si>
    <t>Specific product name</t>
  </si>
  <si>
    <t>Number of units sold</t>
  </si>
  <si>
    <t>Price per unit</t>
  </si>
  <si>
    <t>Discount given</t>
  </si>
  <si>
    <t>Final sales amount</t>
  </si>
  <si>
    <t>Check</t>
  </si>
  <si>
    <t>Why it matters</t>
  </si>
  <si>
    <t>No blank column headers</t>
  </si>
  <si>
    <t>PivotTables need proper headers</t>
  </si>
  <si>
    <t>No fully blank rows inside the data</t>
  </si>
  <si>
    <t>Can break the data range</t>
  </si>
  <si>
    <t>Date column is actually recognized as dates</t>
  </si>
  <si>
    <t>Needed for timeline/month grouping</t>
  </si>
  <si>
    <t>Revenue and Quantity are numbers</t>
  </si>
  <si>
    <t>Needed for sum calculations</t>
  </si>
  <si>
    <t>Category/Region spelling is consistent</t>
  </si>
  <si>
    <t>Avoid duplicate categories</t>
  </si>
  <si>
    <t>Order ID is available</t>
  </si>
  <si>
    <t>Needed for order count</t>
  </si>
  <si>
    <t>Dashboard Requirement</t>
  </si>
  <si>
    <t>Dashboard Element</t>
  </si>
  <si>
    <t>Column Used</t>
  </si>
  <si>
    <t>Total Revenue</t>
  </si>
  <si>
    <t>Total Orders</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</si>
  <si>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</si>
  <si>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</si>
  <si>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</si>
  <si>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</si>
  <si>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</si>
  <si>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</si>
  <si>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</si>
  <si>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</si>
  <si>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</si>
  <si>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</si>
  <si>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</si>
  <si>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</si>
  <si>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</si>
  <si>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</si>
  <si>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</si>
  <si>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</si>
  <si>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Product and Revenue</t>
  </si>
  <si>
    <t>🔎 Review the columns</t>
  </si>
  <si>
    <t>✅ Important checks</t>
  </si>
  <si>
    <t>🎯 Business Questions to Dashboard and Columns</t>
  </si>
  <si>
    <t>Top 5 Products by Revenue</t>
  </si>
  <si>
    <t>Supporting PivotTables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</si>
  <si>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</si>
  <si>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</si>
  <si>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</si>
  <si>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</si>
  <si>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</si>
  <si>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</si>
  <si>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</si>
  <si>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</si>
  <si>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</si>
  <si>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</si>
  <si>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</si>
  <si>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</si>
  <si>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</si>
  <si>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</si>
  <si>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</si>
  <si>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</si>
  <si>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</si>
  <si>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</si>
  <si>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Date updated through:</t>
  </si>
  <si>
    <t>Sales Dashboard</t>
  </si>
  <si>
    <t>PivotTable Build Guide</t>
  </si>
  <si>
    <t>KPI PivotTables</t>
  </si>
  <si>
    <t>Chart PivotTables</t>
  </si>
  <si>
    <t>PT02 - Total Orders</t>
  </si>
  <si>
    <t>PT01 - Total Revenue</t>
  </si>
  <si>
    <t>PT03 - Total Quantity Sold</t>
  </si>
  <si>
    <t>PT04 - Average Order Value</t>
  </si>
  <si>
    <t>PT05 - Revenue by Month</t>
  </si>
  <si>
    <t>PT06 - Revenue by Region</t>
  </si>
  <si>
    <t>PT07 - Revenue by Product Category</t>
  </si>
  <si>
    <t>PT08 - Revenue by Sales Channel</t>
  </si>
  <si>
    <t>PT09 - Top 5 Products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</si>
</sst>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 #,##0.00,,&quot;M&quot;;[&gt;=1000]\ \$\ #.00,\ &quot;K&quot;;\ \$\ ###.00"/>
    <numFmt numFmtId="165" formatCode="[&gt;=1000000]\$\ #,##0.00,,&quot;M&quot;;[&gt;=1000]\$\ #.00,&quot;K&quot;;\$\ ###.00"/>
  </numFmts>
  <fonts count="15">
    <font>
      <sz val="11"/>
      <color theme="1"/>
      <name val="Segoe UI"/>
      <family val="2"/>
      <scheme val="minor"/>
    </font>
    <font>
      <sz val="11"/>
      <color theme="1"/>
      <name val="Segoe UI"/>
      <family val="2"/>
      <scheme val="minor"/>
    </font>
    <font>
      <sz val="16"/>
      <color theme="1"/>
      <name val="Segoe UI"/>
      <family val="2"/>
      <scheme val="minor"/>
    </font>
    <font>
      <b/>
      <sz val="20"/>
      <color theme="3" tint="-0.499984740745262"/>
      <name val="Segoe UI"/>
      <family val="2"/>
      <scheme val="minor"/>
    </font>
    <font>
      <b/>
      <sz val="16"/>
      <color theme="0"/>
      <name val="Segoe UI"/>
      <family val="2"/>
      <scheme val="minor"/>
    </font>
    <font>
      <b/>
      <sz val="20"/>
      <color theme="6" tint="-0.499984740745262"/>
      <name val="Segoe UI"/>
      <family val="2"/>
      <scheme val="minor"/>
    </font>
    <font>
      <sz val="11"/>
      <color theme="0"/>
      <name val="Segoe UI"/>
      <family val="2"/>
      <scheme val="minor"/>
    </font>
    <font>
      <b/>
      <sz val="36"/>
      <color theme="0"/>
      <name val="Segoe UI"/>
      <family val="2"/>
      <scheme val="minor"/>
    </font>
    <font>
      <b/>
      <sz val="11"/>
      <color theme="3"/>
      <name val="Segoe UI"/>
      <family val="2"/>
      <scheme val="minor"/>
    </font>
    <font>
      <b/>
      <u/>
      <sz val="16"/>
      <color theme="0"/>
      <name val="Segoe UI"/>
      <family val="2"/>
      <scheme val="minor"/>
    </font>
    <font>
      <b/>
      <sz val="20"/>
      <color theme="3"/>
      <name val="Segoe UI"/>
      <family val="2"/>
      <scheme val="minor"/>
    </font>
    <font>
      <b/>
      <sz val="14"/>
      <name val="Segoe UI"/>
      <family val="2"/>
      <scheme val="minor"/>
    </font>
    <font>
      <sz val="14"/>
      <color theme="1"/>
      <name val="Segoe UI"/>
      <family val="2"/>
      <scheme val="minor"/>
    </font>
    <font>
      <sz val="11"/>
      <name val="Carlito"/>
    </font>
    <font>
      <u/>
      <sz val="11"/>
      <color theme="10"/>
      <name val="Carlito"/>
    </font>
  </fonts>
  <fills count="6">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3"/>
        <bgColor indexed="64"/>
      </patternFill>
    </fill>
    <fill>
      <patternFill patternType="solid">
        <fgColor theme="0" tint="-0.249977111117893"/>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4"/>
      </left>
      <right style="thin">
        <color theme="4"/>
      </right>
      <top style="thin">
        <color theme="4"/>
      </top>
      <bottom style="thin">
        <color theme="4"/>
      </bottom>
      <diagonal/>
    </border>
  </borders>
  <cellStyleXfs count="4">
    <xf numFmtId="0" fontId="0" fillId="0" borderId="0"/>
    <xf numFmtId="9" fontId="1" fillId="0" borderId="0" applyFont="0" applyFill="0" applyBorder="0" applyAlignment="0" applyProtection="0"/>
    <xf numFmtId="0" fontId="13" fillId="0" borderId="0"/>
    <xf numFmtId="0" fontId="14" fillId="0" borderId="0" applyNumberFormat="0" applyFill="0" applyBorder="0" applyAlignment="0" applyProtection="0"/>
  </cellStyleXfs>
  <cellXfs count="23">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0" fillId="4" borderId="0" xfId="0" applyFill="1"/>
    <xf numFmtId="0" fontId="6" fillId="4" borderId="0" xfId="0" applyFont="1" applyFill="1"/>
    <xf numFmtId="14" fontId="6" fillId="4" borderId="0" xfId="0" applyNumberFormat="1" applyFont="1" applyFill="1"/>
    <xf numFmtId="0" fontId="9" fillId="4" borderId="0" xfId="0" applyFont="1" applyFill="1"/>
    <xf numFmtId="0" fontId="10" fillId="0" borderId="0" xfId="0" applyFont="1"/>
    <xf numFmtId="0" fontId="8" fillId="0" borderId="0" xfId="0" applyFont="1"/>
    <xf numFmtId="0" fontId="11" fillId="2" borderId="2" xfId="0" applyFont="1" applyFill="1" applyBorder="1" applyAlignment="1">
      <alignment horizontal="center" vertical="center"/>
    </xf>
    <xf numFmtId="0" fontId="12" fillId="3" borderId="2" xfId="0" applyFont="1" applyFill="1" applyBorder="1" applyAlignment="1">
      <alignment vertical="center"/>
    </xf>
    <xf numFmtId="165" fontId="0" fillId="0" borderId="0" xfId="0" applyNumberFormat="1"/>
    <xf numFmtId="0" fontId="7" fillId="4" borderId="0" xfId="0" applyFont="1" applyFill="1" applyAlignment="1">
      <alignment horizontal="center"/>
    </xf>
    <xf numFmtId="0" fontId="5" fillId="5" borderId="0" xfId="0" applyFont="1" applyFill="1"/>
    <xf numFmtId="0" fontId="0" fillId="5" borderId="0" xfId="0" applyFill="1"/>
    <xf numFmtId="0" fontId="3" fillId="5" borderId="0" xfId="0" applyFont="1" applyFill="1"/>
    <xf numFmtId="0" fontId="4" fillId="5" borderId="1" xfId="0" applyFont="1" applyFill="1" applyBorder="1" applyAlignment="1">
      <alignment horizontal="center" vertical="center" wrapText="1"/>
    </xf>
    <xf numFmtId="0" fontId="2" fillId="5" borderId="1" xfId="0" applyFont="1" applyFill="1" applyBorder="1" applyAlignment="1">
      <alignment vertical="center" wrapText="1"/>
    </xf>
    <xf numFmtId="0" fontId="0" fillId="0" borderId="0" xfId="0" applyNumberFormat="1"/>
  </cellXfs>
  <cellStyles count="4">
    <cellStyle name="Hyperlink 2" xfId="3" xr:uid="{C2F072EC-1101-470F-A900-443734426AAA}"/>
    <cellStyle name="Normal" xfId="0" builtinId="0"/>
    <cellStyle name="Normal 2" xfId="2" xr:uid="{C19670B5-4B4D-47E2-8561-30E10DF8D3E1}"/>
    <cellStyle name="Percent" xfId="1" builtinId="5"/>
  </cellStyles>
  <dxfs count="4">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6"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[Excel_PivotTable_Dashboard_Practice_File.xlsx]Supporting_Pivots!PT05_Revenue_by_Month</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Supporting_Pivots!$C$27</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Supporting_Pivots!$B$28:$B$40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Supporting_Pivots!$C$28:$C$40</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F5E5-4E0A-955C-29168B15F057}"/>
            </c:ext>
          </c:extLst>
        </c:ser>
        <c:dLbls>
          <c:dLblPos val="t"/>
          <c:showLegendKey val="0"/>
          <c:showVal val="1"/>
          <c:showCatName val="0"/>
          <c:showSerName val="0"/>
          <c:showPercent val="0"/>
          <c:showBubbleSize val="0"/>
        </c:dLbls>
        <c:smooth val="0"/>
        <c:axId val="287570064"/>
        <c:axId val="224503984"/>
      </c:lineChart>
      <c:catAx>
        <c:axId val="287570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03984"/>
        <c:crosses val="autoZero"/>
        <c:auto val="1"/>
        <c:lblAlgn val="ctr"/>
        <c:lblOffset val="100"/>
        <c:noMultiLvlLbl val="0"/>
      </c:catAx>
      <c:valAx>
        <c:axId val="224503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7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[Excel_PivotTable_Dashboard_Practice_File.xlsx]Supporting_Pivots!PT06_Revenue_by_Region</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Supporting_Pivots!$F$27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Supporting_Pivots!$E$28:$E$33</c:f>
              <c:strCache>
                <c:ptCount val="5"/>
                <c:pt idx="0">
                  <c:v>Central</c:v>
                </c:pt>
                <c:pt idx="1">
                  <c:v>East</c:v>
                </c:pt>
                <c:pt idx="2">
                  <c:v>North</c:v>
                </c:pt>
                <c:pt idx="3">
                  <c:v>South</c:v>
                </c:pt>
                <c:pt idx="4">
                  <c:v>West</c:v>
                </c:pt>
              </c:strCache>
            </c:strRef>
          </c:cat>
          <c:val>
            <c:numRef>
              <c:f>Supporting_Pivots!$F$28:$F$33</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CF4A-4FCF-9F83-B294ADEADCC6}"/>
            </c:ext>
          </c:extLst>
        </c:ser>
        <c:dLbls>
          <c:dLblPos val="outEnd"/>
          <c:showLegendKey val="0"/>
          <c:showVal val="1"/>
          <c:showCatName val="0"/>
          <c:showSerName val="0"/>
          <c:showPercent val="0"/>
          <c:showBubbleSize val="0"/>
        </c:dLbls>
        <c:gapWidth val="219"/>
        <c:overlap val="-27"/>
        <c:axId val="234864896"/>
        <c:axId val="224486704"/>
      </c:barChart>
      <c:catAx>
        <c:axId val="23486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86704"/>
        <c:crosses val="autoZero"/>
        <c:auto val="1"/>
        <c:lblAlgn val="ctr"/>
        <c:lblOffset val="100"/>
        <c:noMultiLvlLbl val="0"/>
      </c:catAx>
      <c:valAx>
        <c:axId val="224486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86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[Excel_PivotTable_Dashboard_Practice_File.xlsx]Supporting_Pivots!PT07_Revenue_by_Category</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Product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Supporting_Pivots!$I$27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Supporting_Pivots!$H$28:$H$34</c:f>
              <c:strCache>
                <c:ptCount val="6"/>
                <c:pt idx="0">
                  <c:v>Computers</c:v>
                </c:pt>
                <c:pt idx="1">
                  <c:v>Monitors</c:v>
                </c:pt>
                <c:pt idx="2">
                  <c:v>Networking</c:v>
                </c:pt>
                <c:pt idx="3">
                  <c:v>Storage</c:v>
                </c:pt>
                <c:pt idx="4">
                  <c:v>Accessories</c:v>
                </c:pt>
                <c:pt idx="5">
                  <c:v>Office Supplies</c:v>
                </c:pt>
              </c:strCache>
            </c:strRef>
          </c:cat>
          <c:val>
            <c:numRef>
              <c:f>Supporting_Pivots!$I$28:$I$34</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1A42-44FF-8669-144033BABB8E}"/>
            </c:ext>
          </c:extLst>
        </c:ser>
        <c:dLbls>
          <c:dLblPos val="outEnd"/>
          <c:showLegendKey val="0"/>
          <c:showVal val="1"/>
          <c:showCatName val="0"/>
          <c:showSerName val="0"/>
          <c:showPercent val="0"/>
          <c:showBubbleSize val="0"/>
        </c:dLbls>
        <c:gapWidth val="219"/>
        <c:overlap val="-27"/>
        <c:axId val="387236032"/>
        <c:axId val="224456944"/>
      </c:barChart>
      <c:catAx>
        <c:axId val="38723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56944"/>
        <c:crosses val="autoZero"/>
        <c:auto val="1"/>
        <c:lblAlgn val="ctr"/>
        <c:lblOffset val="100"/>
        <c:noMultiLvlLbl val="0"/>
      </c:catAx>
      <c:valAx>
        <c:axId val="224456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3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[Excel_PivotTable_Dashboard_Practice_File.xlsx]Supporting_Pivots!PT08_Revenue_by_Channel</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Sales Channel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Supporting_Pivots!$L$27</c:f>
              <c:strCache>
                <c:ptCount val="1"/>
                <c:pt idx="0">
                  <c:v>Total</c:v>
                </c:pt>
              </c:strCache>
            </c:strRef>
          </c:tx>
          <c:spPr>
            <a:ln w="19050"/>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75-4A87-A679-6979F8C86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75-4A87-A679-6979F8C86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75-4A87-A679-6979F8C860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75-4A87-A679-6979F8C860FC}"/>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Supporting_Pivots!$K$28:$K$32</c:f>
              <c:strCache>
                <c:ptCount val="4"/>
                <c:pt idx="0">
                  <c:v>Corporate Sales</c:v>
                </c:pt>
                <c:pt idx="1">
                  <c:v>Marketplace</c:v>
                </c:pt>
                <c:pt idx="2">
                  <c:v>Online</c:v>
                </c:pt>
                <c:pt idx="3">
                  <c:v>Retail Store</c:v>
                </c:pt>
              </c:strCache>
            </c:strRef>
          </c:cat>
          <c:val>
            <c:numRef>
              <c:f>Supporting_Pivots!$L$28:$L$32</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4875-4A87-A679-6979F8C860F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tx1">
            <a:lumMod val="10000"/>
            <a:lumOff val="9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[Excel_PivotTable_Dashboard_Practice_File.xlsx]Supporting_Pivots!PT09_Top_5_Products</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Supporting_Pivots!$O$27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Supporting_Pivots!$N$28:$N$33</c:f>
              <c:strCache>
                <c:ptCount val="5"/>
                <c:pt idx="0">
                  <c:v>Gaming Laptop</c:v>
                </c:pt>
                <c:pt idx="1">
                  <c:v>Laptop Air 13</c:v>
                </c:pt>
                <c:pt idx="2">
                  <c:v>Laptop Pro 14</c:v>
                </c:pt>
                <c:pt idx="3">
                  <c:v>All-in-One PC</c:v>
                </c:pt>
                <c:pt idx="4">
                  <c:v>Ultrawide Monitor</c:v>
                </c:pt>
              </c:strCache>
            </c:strRef>
          </c:cat>
          <c:val>
            <c:numRef>
              <c:f>Supporting_Pivots!$O$28:$O$33</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3350-4E4E-A7C3-8ADD209037C8}"/>
            </c:ext>
          </c:extLst>
        </c:ser>
        <c:dLbls>
          <c:dLblPos val="outEnd"/>
          <c:showLegendKey val="0"/>
          <c:showVal val="1"/>
          <c:showCatName val="0"/>
          <c:showSerName val="0"/>
          <c:showPercent val="0"/>
          <c:showBubbleSize val="0"/>
        </c:dLbls>
        <c:gapWidth val="182"/>
        <c:axId val="470262272"/>
        <c:axId val="224413264"/>
      </c:barChart>
      <c:catAx>
        <c:axId val="470262272"/>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13264"/>
        <c:crosses val="autoZero"/>
        <c:auto val="1"/>
        <c:lblAlgn val="ctr"/>
        <c:lblOffset val="100"/>
        <c:noMultiLvlLbl val="0"/>
      </c:catAx>
      <c:valAx>
        <c:axId val="224413264"/>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a:t>
                </a:r>
                <a:r>
                  <a:rPr lang="en-MY" baseline="0"/>
                  <a:t> ($)</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6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133350</xdr:colOff>
      <xdr:row>3</xdr:row>
      <xdr:rowOff>104775</xdr:rowOff>
    </xdr:from>
    <xdr:to>
      <xdr:col>3</xdr:col>
      <xdr:colOff>91950</xdr:colOff>
      <xdr:row>13</xdr:row>
      <xdr:rowOff>114300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FEC2FB6-F7A2-4AB1-BD25-3EFEA5B5D19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50" y="733425"/>
              <a:ext cx="2016000" cy="21050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26</xdr:row>
      <xdr:rowOff>158900</xdr:rowOff>
    </xdr:from>
    <xdr:to>
      <xdr:col>3</xdr:col>
      <xdr:colOff>91950</xdr:colOff>
      <xdr:row>35</xdr:row>
      <xdr:rowOff>187475</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463BA2DF-6CC5-496E-B7E6-4319A0608FB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3350" y="5607200"/>
              <a:ext cx="2016000" cy="19145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36</xdr:row>
      <xdr:rowOff>152625</xdr:rowOff>
    </xdr:from>
    <xdr:to>
      <xdr:col>3</xdr:col>
      <xdr:colOff>91950</xdr:colOff>
      <xdr:row>43</xdr:row>
      <xdr:rowOff>162150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17165C2A-E955-44B0-8EE1-87660EECFE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3350" y="7696425"/>
              <a:ext cx="2016000" cy="14763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14</xdr:row>
      <xdr:rowOff>79450</xdr:rowOff>
    </xdr:from>
    <xdr:to>
      <xdr:col>3</xdr:col>
      <xdr:colOff>91950</xdr:colOff>
      <xdr:row>25</xdr:row>
      <xdr:rowOff>193750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430D0B90-1B0F-4E95-97C9-0ABF3BEE371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3350" y="3013150"/>
              <a:ext cx="2016000" cy="24193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361950</xdr:colOff>
      <xdr:row>3</xdr:row>
      <xdr:rowOff>104775</xdr:rowOff>
    </xdr:from>
    <xdr:to>
      <xdr:col>5</xdr:col>
      <xdr:colOff>657225</xdr:colOff>
      <xdr:row>10</xdr:row>
      <xdr:rowOff>9525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41F9863F-E0AA-4B45-ADE0-27741097E89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419350" y="733425"/>
              <a:ext cx="166687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15</xdr:col>
      <xdr:colOff>561975</xdr:colOff>
      <xdr:row>3</xdr:row>
      <xdr:rowOff>104775</xdr:rowOff>
    </xdr:from>
    <xdr:to>
      <xdr:col>25</xdr:col>
      <xdr:colOff>583406</xdr:colOff>
      <xdr:row>10</xdr:row>
      <xdr:rowOff>9525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EC451DF3-A707-4E44-A274-24943A13849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848975" y="733425"/>
              <a:ext cx="690562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10</xdr:col>
      <xdr:colOff>460375</xdr:colOff>
      <xdr:row>3</xdr:row>
      <xdr:rowOff>104775</xdr:rowOff>
    </xdr:from>
    <xdr:to>
      <xdr:col>15</xdr:col>
      <xdr:colOff>365125</xdr:colOff>
      <xdr:row>10</xdr:row>
      <xdr:rowOff>9525</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62513895-653D-4515-9A50-896F7C33647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318375" y="733425"/>
              <a:ext cx="33337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6</xdr:col>
      <xdr:colOff>168275</xdr:colOff>
      <xdr:row>3</xdr:row>
      <xdr:rowOff>104775</xdr:rowOff>
    </xdr:from>
    <xdr:to>
      <xdr:col>10</xdr:col>
      <xdr:colOff>263525</xdr:colOff>
      <xdr:row>10</xdr:row>
      <xdr:rowOff>9525</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BF48C526-4489-45F1-A727-62F9C3A592F7}"/>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4283075" y="733425"/>
              <a:ext cx="28384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xdr:from>
      <xdr:col>3</xdr:col>
      <xdr:colOff>361950</xdr:colOff>
      <xdr:row>15</xdr:row>
      <xdr:rowOff>200025</xdr:rowOff>
    </xdr:from>
    <xdr:to>
      <xdr:col>14</xdr:col>
      <xdr:colOff>378150</xdr:colOff>
      <xdr:row>29</xdr:row>
      <xdr:rowOff>38325</xdr:rowOff>
    </xdr:to>
    <xdr:graphicFrame macro="">
      <xdr:nvGraphicFramePr>
        <xdr:cNvPr id="10" name="PC05_Revenue_by_Month">
          <a:extLst>
            <a:ext uri="{FF2B5EF4-FFF2-40B4-BE49-F238E27FC236}">
              <a16:creationId xmlns:a16="http://schemas.microsoft.com/office/drawing/2014/main" id="{F49F013C-0CC8-4F71-8952-FD7DE4C4F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593400</xdr:colOff>
      <xdr:row>15</xdr:row>
      <xdr:rowOff>200025</xdr:rowOff>
    </xdr:from>
    <xdr:to>
      <xdr:col>25</xdr:col>
      <xdr:colOff>609600</xdr:colOff>
      <xdr:row>29</xdr:row>
      <xdr:rowOff>38325</xdr:rowOff>
    </xdr:to>
    <xdr:graphicFrame macro="">
      <xdr:nvGraphicFramePr>
        <xdr:cNvPr id="11" name="PC06_Revenue_by_Region">
          <a:extLst>
            <a:ext uri="{FF2B5EF4-FFF2-40B4-BE49-F238E27FC236}">
              <a16:creationId xmlns:a16="http://schemas.microsoft.com/office/drawing/2014/main" id="{A7CA1DE6-653D-4A41-A7D8-A8325BDFB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30</xdr:row>
      <xdr:rowOff>114300</xdr:rowOff>
    </xdr:from>
    <xdr:to>
      <xdr:col>10</xdr:col>
      <xdr:colOff>601350</xdr:colOff>
      <xdr:row>43</xdr:row>
      <xdr:rowOff>162150</xdr:rowOff>
    </xdr:to>
    <xdr:graphicFrame macro="">
      <xdr:nvGraphicFramePr>
        <xdr:cNvPr id="12" name="PC07_Revenue_by_Category">
          <a:extLst>
            <a:ext uri="{FF2B5EF4-FFF2-40B4-BE49-F238E27FC236}">
              <a16:creationId xmlns:a16="http://schemas.microsoft.com/office/drawing/2014/main" id="{BBED3227-534E-4F84-8B5A-41B8ECA03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23175</xdr:colOff>
      <xdr:row>30</xdr:row>
      <xdr:rowOff>114300</xdr:rowOff>
    </xdr:from>
    <xdr:to>
      <xdr:col>18</xdr:col>
      <xdr:colOff>262575</xdr:colOff>
      <xdr:row>43</xdr:row>
      <xdr:rowOff>162150</xdr:rowOff>
    </xdr:to>
    <xdr:graphicFrame macro="">
      <xdr:nvGraphicFramePr>
        <xdr:cNvPr id="13" name="PC08_Revenue_by_Channel">
          <a:extLst>
            <a:ext uri="{FF2B5EF4-FFF2-40B4-BE49-F238E27FC236}">
              <a16:creationId xmlns:a16="http://schemas.microsoft.com/office/drawing/2014/main" id="{8075D8A7-44F9-4D99-A2CD-A623C5E1F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370200</xdr:colOff>
      <xdr:row>30</xdr:row>
      <xdr:rowOff>114300</xdr:rowOff>
    </xdr:from>
    <xdr:to>
      <xdr:col>25</xdr:col>
      <xdr:colOff>609600</xdr:colOff>
      <xdr:row>43</xdr:row>
      <xdr:rowOff>162150</xdr:rowOff>
    </xdr:to>
    <xdr:graphicFrame macro="">
      <xdr:nvGraphicFramePr>
        <xdr:cNvPr id="14" name="PC09_Top_5_Products">
          <a:extLst>
            <a:ext uri="{FF2B5EF4-FFF2-40B4-BE49-F238E27FC236}">
              <a16:creationId xmlns:a16="http://schemas.microsoft.com/office/drawing/2014/main" id="{4E92F497-D7E8-4A2E-A88C-2DFA313A7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361950</xdr:colOff>
      <xdr:row>10</xdr:row>
      <xdr:rowOff>104775</xdr:rowOff>
    </xdr:from>
    <xdr:to>
      <xdr:col>8</xdr:col>
      <xdr:colOff>532950</xdr:colOff>
      <xdr:row>15</xdr:row>
      <xdr:rowOff>137025</xdr:rowOff>
    </xdr:to>
    <xdr:grpSp>
      <xdr:nvGrpSpPr>
        <xdr:cNvPr id="24" name="Group 23">
          <a:extLst>
            <a:ext uri="{FF2B5EF4-FFF2-40B4-BE49-F238E27FC236}">
              <a16:creationId xmlns:a16="http://schemas.microsoft.com/office/drawing/2014/main" id="{B1659B7B-5D9A-D660-C21D-E3C67E1DDB55}"/>
            </a:ext>
          </a:extLst>
        </xdr:cNvPr>
        <xdr:cNvGrpSpPr/>
      </xdr:nvGrpSpPr>
      <xdr:grpSpPr>
        <a:xfrm>
          <a:off x="2433638" y="2247900"/>
          <a:ext cx="3623812" cy="1103813"/>
          <a:chOff x="2466975" y="2190750"/>
          <a:chExt cx="3600000" cy="1080000"/>
        </a:xfrm>
      </xdr:grpSpPr>
      <xdr:sp macro="" textlink="">
        <xdr:nvSpPr>
          <xdr:cNvPr id="15" name="Rectangle: Rounded Corners 14">
            <a:extLst>
              <a:ext uri="{FF2B5EF4-FFF2-40B4-BE49-F238E27FC236}">
                <a16:creationId xmlns:a16="http://schemas.microsoft.com/office/drawing/2014/main" id="{BEF3C173-EBD1-880A-7AB7-34A8729F982C}"/>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3" name="Group 22">
            <a:extLst>
              <a:ext uri="{FF2B5EF4-FFF2-40B4-BE49-F238E27FC236}">
                <a16:creationId xmlns:a16="http://schemas.microsoft.com/office/drawing/2014/main" id="{C065F471-94AC-FC18-AA19-5C96AF3B0059}"/>
              </a:ext>
            </a:extLst>
          </xdr:cNvPr>
          <xdr:cNvGrpSpPr/>
        </xdr:nvGrpSpPr>
        <xdr:grpSpPr>
          <a:xfrm>
            <a:off x="2883469" y="2297363"/>
            <a:ext cx="3136331" cy="857250"/>
            <a:chOff x="2876550" y="2269763"/>
            <a:chExt cx="3136331" cy="857250"/>
          </a:xfrm>
        </xdr:grpSpPr>
        <xdr:grpSp>
          <xdr:nvGrpSpPr>
            <xdr:cNvPr id="22" name="Group 21">
              <a:extLst>
                <a:ext uri="{FF2B5EF4-FFF2-40B4-BE49-F238E27FC236}">
                  <a16:creationId xmlns:a16="http://schemas.microsoft.com/office/drawing/2014/main" id="{360DBD73-7E41-EA71-21EB-634FFCE3DA42}"/>
                </a:ext>
              </a:extLst>
            </xdr:cNvPr>
            <xdr:cNvGrpSpPr/>
          </xdr:nvGrpSpPr>
          <xdr:grpSpPr>
            <a:xfrm>
              <a:off x="3148013" y="2269763"/>
              <a:ext cx="2864868" cy="857250"/>
              <a:chOff x="3348038" y="2266950"/>
              <a:chExt cx="2864868" cy="857250"/>
            </a:xfrm>
          </xdr:grpSpPr>
          <xdr:sp macro="" textlink="Supporting_Pivots!$B$21">
            <xdr:nvSpPr>
              <xdr:cNvPr id="16" name="TextBox 15">
                <a:extLst>
                  <a:ext uri="{FF2B5EF4-FFF2-40B4-BE49-F238E27FC236}">
                    <a16:creationId xmlns:a16="http://schemas.microsoft.com/office/drawing/2014/main" id="{016FCAD4-F36B-FBED-654D-4BB43D4A234C}"/>
                  </a:ext>
                </a:extLst>
              </xdr:cNvPr>
              <xdr:cNvSpPr txBox="1"/>
            </xdr:nvSpPr>
            <xdr:spPr>
              <a:xfrm>
                <a:off x="3348038" y="2638425"/>
                <a:ext cx="2864868"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ED814-1719-4E1D-812D-EF9E769244E9}" type="TxLink">
                  <a:rPr lang="en-US" sz="3200" b="1" i="0" u="none" strike="noStrike">
                    <a:solidFill>
                      <a:schemeClr val="accent1"/>
                    </a:solidFill>
                    <a:latin typeface="Segoe UI"/>
                    <a:cs typeface="Segoe UI"/>
                  </a:rPr>
                  <a:pPr algn="ctr"/>
                  <a:t>$ 2.45M</a:t>
                </a:fld>
                <a:endParaRPr lang="en-MY" sz="3200" b="1">
                  <a:solidFill>
                    <a:schemeClr val="accent1"/>
                  </a:solidFill>
                </a:endParaRPr>
              </a:p>
            </xdr:txBody>
          </xdr:sp>
          <xdr:sp macro="" textlink="Supporting_Pivots!$B$21">
            <xdr:nvSpPr>
              <xdr:cNvPr id="17" name="TextBox 16">
                <a:extLst>
                  <a:ext uri="{FF2B5EF4-FFF2-40B4-BE49-F238E27FC236}">
                    <a16:creationId xmlns:a16="http://schemas.microsoft.com/office/drawing/2014/main" id="{65F5B8DD-CB32-DBD3-3D13-CF2CCCD41D0D}"/>
                  </a:ext>
                </a:extLst>
              </xdr:cNvPr>
              <xdr:cNvSpPr txBox="1"/>
            </xdr:nvSpPr>
            <xdr:spPr>
              <a:xfrm>
                <a:off x="3908935"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Revenue</a:t>
                </a:r>
                <a:endParaRPr lang="en-MY" sz="1600" b="1">
                  <a:solidFill>
                    <a:schemeClr val="tx1"/>
                  </a:solidFill>
                </a:endParaRPr>
              </a:p>
            </xdr:txBody>
          </xdr:sp>
        </xdr:grpSp>
        <xdr:pic>
          <xdr:nvPicPr>
            <xdr:cNvPr id="19" name="Graphic 18" descr="Dollar with solid fill">
              <a:extLst>
                <a:ext uri="{FF2B5EF4-FFF2-40B4-BE49-F238E27FC236}">
                  <a16:creationId xmlns:a16="http://schemas.microsoft.com/office/drawing/2014/main" id="{2557422A-862F-4671-C271-59480E970FC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76550" y="2343150"/>
              <a:ext cx="720000" cy="720000"/>
            </a:xfrm>
            <a:prstGeom prst="rect">
              <a:avLst/>
            </a:prstGeom>
          </xdr:spPr>
        </xdr:pic>
      </xdr:grpSp>
    </xdr:grpSp>
    <xdr:clientData/>
  </xdr:twoCellAnchor>
  <xdr:twoCellAnchor>
    <xdr:from>
      <xdr:col>9</xdr:col>
      <xdr:colOff>158900</xdr:colOff>
      <xdr:row>10</xdr:row>
      <xdr:rowOff>104775</xdr:rowOff>
    </xdr:from>
    <xdr:to>
      <xdr:col>14</xdr:col>
      <xdr:colOff>329900</xdr:colOff>
      <xdr:row>15</xdr:row>
      <xdr:rowOff>137025</xdr:rowOff>
    </xdr:to>
    <xdr:grpSp>
      <xdr:nvGrpSpPr>
        <xdr:cNvPr id="25" name="Group 24">
          <a:extLst>
            <a:ext uri="{FF2B5EF4-FFF2-40B4-BE49-F238E27FC236}">
              <a16:creationId xmlns:a16="http://schemas.microsoft.com/office/drawing/2014/main" id="{2046ECC9-1770-FF79-5B0D-5AA052BBEDAB}"/>
            </a:ext>
          </a:extLst>
        </xdr:cNvPr>
        <xdr:cNvGrpSpPr/>
      </xdr:nvGrpSpPr>
      <xdr:grpSpPr>
        <a:xfrm>
          <a:off x="6373963" y="2247900"/>
          <a:ext cx="3623812" cy="1103813"/>
          <a:chOff x="2466975" y="2190750"/>
          <a:chExt cx="3600000" cy="1080000"/>
        </a:xfrm>
      </xdr:grpSpPr>
      <xdr:sp macro="" textlink="">
        <xdr:nvSpPr>
          <xdr:cNvPr id="26" name="Rectangle: Rounded Corners 25">
            <a:extLst>
              <a:ext uri="{FF2B5EF4-FFF2-40B4-BE49-F238E27FC236}">
                <a16:creationId xmlns:a16="http://schemas.microsoft.com/office/drawing/2014/main" id="{7909849D-DE27-8594-BB05-948240CF3A2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7" name="Group 26">
            <a:extLst>
              <a:ext uri="{FF2B5EF4-FFF2-40B4-BE49-F238E27FC236}">
                <a16:creationId xmlns:a16="http://schemas.microsoft.com/office/drawing/2014/main" id="{CE906E20-3984-B8DC-2729-05094C9A04AF}"/>
              </a:ext>
            </a:extLst>
          </xdr:cNvPr>
          <xdr:cNvGrpSpPr/>
        </xdr:nvGrpSpPr>
        <xdr:grpSpPr>
          <a:xfrm>
            <a:off x="2883469" y="2297363"/>
            <a:ext cx="2767013" cy="866775"/>
            <a:chOff x="2876550" y="2269763"/>
            <a:chExt cx="2767013" cy="866775"/>
          </a:xfrm>
        </xdr:grpSpPr>
        <xdr:grpSp>
          <xdr:nvGrpSpPr>
            <xdr:cNvPr id="28" name="Group 27">
              <a:extLst>
                <a:ext uri="{FF2B5EF4-FFF2-40B4-BE49-F238E27FC236}">
                  <a16:creationId xmlns:a16="http://schemas.microsoft.com/office/drawing/2014/main" id="{19B2EC9D-136E-9811-BA1C-8CB8869597EA}"/>
                </a:ext>
              </a:extLst>
            </xdr:cNvPr>
            <xdr:cNvGrpSpPr/>
          </xdr:nvGrpSpPr>
          <xdr:grpSpPr>
            <a:xfrm>
              <a:off x="3595688" y="2269763"/>
              <a:ext cx="2047875" cy="866775"/>
              <a:chOff x="3795713" y="2266950"/>
              <a:chExt cx="2047875" cy="866775"/>
            </a:xfrm>
          </xdr:grpSpPr>
          <xdr:sp macro="" textlink="Supporting_Pivots!$E$21">
            <xdr:nvSpPr>
              <xdr:cNvPr id="30" name="TextBox 29">
                <a:extLst>
                  <a:ext uri="{FF2B5EF4-FFF2-40B4-BE49-F238E27FC236}">
                    <a16:creationId xmlns:a16="http://schemas.microsoft.com/office/drawing/2014/main" id="{9B7283A2-BA52-76A9-5071-CAF019233F66}"/>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12018E-B502-4A7F-8DF4-550C5120B492}" type="TxLink">
                  <a:rPr lang="en-US" sz="3200" b="1" i="0" u="none" strike="noStrike">
                    <a:solidFill>
                      <a:schemeClr val="accent1"/>
                    </a:solidFill>
                    <a:latin typeface="Segoe UI"/>
                    <a:cs typeface="Segoe UI"/>
                  </a:rPr>
                  <a:pPr algn="ctr"/>
                  <a:t>2000</a:t>
                </a:fld>
                <a:endParaRPr lang="en-MY" sz="3200" b="1">
                  <a:solidFill>
                    <a:schemeClr val="accent1"/>
                  </a:solidFill>
                </a:endParaRPr>
              </a:p>
            </xdr:txBody>
          </xdr:sp>
          <xdr:sp macro="" textlink="Supporting_Pivots!$B$21">
            <xdr:nvSpPr>
              <xdr:cNvPr id="31" name="TextBox 30">
                <a:extLst>
                  <a:ext uri="{FF2B5EF4-FFF2-40B4-BE49-F238E27FC236}">
                    <a16:creationId xmlns:a16="http://schemas.microsoft.com/office/drawing/2014/main" id="{FF4F8D40-BA7C-521E-B192-9F564C5A1ACA}"/>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Orders</a:t>
                </a:r>
                <a:endParaRPr lang="en-MY" sz="1600" b="1">
                  <a:solidFill>
                    <a:schemeClr val="tx1"/>
                  </a:solidFill>
                </a:endParaRPr>
              </a:p>
            </xdr:txBody>
          </xdr:sp>
        </xdr:grpSp>
        <xdr:pic>
          <xdr:nvPicPr>
            <xdr:cNvPr id="29" name="Graphic 28" descr="Shopping cart with solid fill">
              <a:extLst>
                <a:ext uri="{FF2B5EF4-FFF2-40B4-BE49-F238E27FC236}">
                  <a16:creationId xmlns:a16="http://schemas.microsoft.com/office/drawing/2014/main" id="{611F133E-0E59-5DBA-639A-DD1552F786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876550" y="2343150"/>
              <a:ext cx="720000" cy="720000"/>
            </a:xfrm>
            <a:prstGeom prst="rect">
              <a:avLst/>
            </a:prstGeom>
          </xdr:spPr>
        </xdr:pic>
      </xdr:grpSp>
    </xdr:grpSp>
    <xdr:clientData/>
  </xdr:twoCellAnchor>
  <xdr:twoCellAnchor>
    <xdr:from>
      <xdr:col>14</xdr:col>
      <xdr:colOff>641650</xdr:colOff>
      <xdr:row>10</xdr:row>
      <xdr:rowOff>104775</xdr:rowOff>
    </xdr:from>
    <xdr:to>
      <xdr:col>20</xdr:col>
      <xdr:colOff>126850</xdr:colOff>
      <xdr:row>15</xdr:row>
      <xdr:rowOff>137025</xdr:rowOff>
    </xdr:to>
    <xdr:grpSp>
      <xdr:nvGrpSpPr>
        <xdr:cNvPr id="32" name="Group 31">
          <a:extLst>
            <a:ext uri="{FF2B5EF4-FFF2-40B4-BE49-F238E27FC236}">
              <a16:creationId xmlns:a16="http://schemas.microsoft.com/office/drawing/2014/main" id="{20DE2B05-10EA-5120-3274-99AE784CEDAB}"/>
            </a:ext>
          </a:extLst>
        </xdr:cNvPr>
        <xdr:cNvGrpSpPr/>
      </xdr:nvGrpSpPr>
      <xdr:grpSpPr>
        <a:xfrm>
          <a:off x="10309525" y="2247900"/>
          <a:ext cx="3628575" cy="1103813"/>
          <a:chOff x="2466975" y="2190750"/>
          <a:chExt cx="3600000" cy="1080000"/>
        </a:xfrm>
      </xdr:grpSpPr>
      <xdr:sp macro="" textlink="">
        <xdr:nvSpPr>
          <xdr:cNvPr id="33" name="Rectangle: Rounded Corners 32">
            <a:extLst>
              <a:ext uri="{FF2B5EF4-FFF2-40B4-BE49-F238E27FC236}">
                <a16:creationId xmlns:a16="http://schemas.microsoft.com/office/drawing/2014/main" id="{F36D94E5-FEA8-6CC7-820B-BEA5C6CC0C8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34" name="Group 33">
            <a:extLst>
              <a:ext uri="{FF2B5EF4-FFF2-40B4-BE49-F238E27FC236}">
                <a16:creationId xmlns:a16="http://schemas.microsoft.com/office/drawing/2014/main" id="{417CEA01-EAC6-5F93-DD14-F259691A6BF6}"/>
              </a:ext>
            </a:extLst>
          </xdr:cNvPr>
          <xdr:cNvGrpSpPr/>
        </xdr:nvGrpSpPr>
        <xdr:grpSpPr>
          <a:xfrm>
            <a:off x="2883469" y="2297363"/>
            <a:ext cx="2767013" cy="866775"/>
            <a:chOff x="2876550" y="2269763"/>
            <a:chExt cx="2767013" cy="866775"/>
          </a:xfrm>
        </xdr:grpSpPr>
        <xdr:grpSp>
          <xdr:nvGrpSpPr>
            <xdr:cNvPr id="35" name="Group 34">
              <a:extLst>
                <a:ext uri="{FF2B5EF4-FFF2-40B4-BE49-F238E27FC236}">
                  <a16:creationId xmlns:a16="http://schemas.microsoft.com/office/drawing/2014/main" id="{7E90D873-9C81-0608-C99A-F809A8A51CA4}"/>
                </a:ext>
              </a:extLst>
            </xdr:cNvPr>
            <xdr:cNvGrpSpPr/>
          </xdr:nvGrpSpPr>
          <xdr:grpSpPr>
            <a:xfrm>
              <a:off x="3595688" y="2269763"/>
              <a:ext cx="2047875" cy="866775"/>
              <a:chOff x="3795713" y="2266950"/>
              <a:chExt cx="2047875" cy="866775"/>
            </a:xfrm>
          </xdr:grpSpPr>
          <xdr:sp macro="" textlink="Supporting_Pivots!$H$21">
            <xdr:nvSpPr>
              <xdr:cNvPr id="37" name="TextBox 36">
                <a:extLst>
                  <a:ext uri="{FF2B5EF4-FFF2-40B4-BE49-F238E27FC236}">
                    <a16:creationId xmlns:a16="http://schemas.microsoft.com/office/drawing/2014/main" id="{BE6869C3-8E7C-304B-4B1C-6B75BCDBEF6F}"/>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753C4-BB9C-4DCA-9AEE-B896C099765D}" type="TxLink">
                  <a:rPr lang="en-US" sz="3200" b="1" i="0" u="none" strike="noStrike">
                    <a:solidFill>
                      <a:schemeClr val="accent1"/>
                    </a:solidFill>
                    <a:latin typeface="Segoe UI"/>
                    <a:cs typeface="Segoe UI"/>
                  </a:rPr>
                  <a:pPr algn="ctr"/>
                  <a:t>5552</a:t>
                </a:fld>
                <a:endParaRPr lang="en-MY" sz="3200" b="1">
                  <a:solidFill>
                    <a:schemeClr val="accent1"/>
                  </a:solidFill>
                </a:endParaRPr>
              </a:p>
            </xdr:txBody>
          </xdr:sp>
          <xdr:sp macro="" textlink="Supporting_Pivots!$B$21">
            <xdr:nvSpPr>
              <xdr:cNvPr id="38" name="TextBox 37">
                <a:extLst>
                  <a:ext uri="{FF2B5EF4-FFF2-40B4-BE49-F238E27FC236}">
                    <a16:creationId xmlns:a16="http://schemas.microsoft.com/office/drawing/2014/main" id="{0FF1EDE7-F689-2A6A-3560-4C81BEE4FEA7}"/>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Quantity Sold</a:t>
                </a:r>
                <a:endParaRPr lang="en-MY" sz="1600" b="1">
                  <a:solidFill>
                    <a:schemeClr val="tx1"/>
                  </a:solidFill>
                </a:endParaRPr>
              </a:p>
            </xdr:txBody>
          </xdr:sp>
        </xdr:grpSp>
        <xdr:pic>
          <xdr:nvPicPr>
            <xdr:cNvPr id="36" name="Graphic 35" descr="Box with solid fill">
              <a:extLst>
                <a:ext uri="{FF2B5EF4-FFF2-40B4-BE49-F238E27FC236}">
                  <a16:creationId xmlns:a16="http://schemas.microsoft.com/office/drawing/2014/main" id="{59EF3053-1BE5-87FE-BC94-D13B7548035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876550" y="2343150"/>
              <a:ext cx="720000" cy="720000"/>
            </a:xfrm>
            <a:prstGeom prst="rect">
              <a:avLst/>
            </a:prstGeom>
          </xdr:spPr>
        </xdr:pic>
      </xdr:grpSp>
    </xdr:grpSp>
    <xdr:clientData/>
  </xdr:twoCellAnchor>
  <xdr:twoCellAnchor>
    <xdr:from>
      <xdr:col>20</xdr:col>
      <xdr:colOff>438600</xdr:colOff>
      <xdr:row>10</xdr:row>
      <xdr:rowOff>104775</xdr:rowOff>
    </xdr:from>
    <xdr:to>
      <xdr:col>25</xdr:col>
      <xdr:colOff>609600</xdr:colOff>
      <xdr:row>15</xdr:row>
      <xdr:rowOff>137025</xdr:rowOff>
    </xdr:to>
    <xdr:grpSp>
      <xdr:nvGrpSpPr>
        <xdr:cNvPr id="39" name="Group 38">
          <a:extLst>
            <a:ext uri="{FF2B5EF4-FFF2-40B4-BE49-F238E27FC236}">
              <a16:creationId xmlns:a16="http://schemas.microsoft.com/office/drawing/2014/main" id="{53983DAF-0F34-D878-2A98-7955C9B8F219}"/>
            </a:ext>
          </a:extLst>
        </xdr:cNvPr>
        <xdr:cNvGrpSpPr/>
      </xdr:nvGrpSpPr>
      <xdr:grpSpPr>
        <a:xfrm>
          <a:off x="14249850" y="2247900"/>
          <a:ext cx="3719063" cy="1103813"/>
          <a:chOff x="2466975" y="2190750"/>
          <a:chExt cx="3600000" cy="1080000"/>
        </a:xfrm>
      </xdr:grpSpPr>
      <xdr:sp macro="" textlink="">
        <xdr:nvSpPr>
          <xdr:cNvPr id="40" name="Rectangle: Rounded Corners 39">
            <a:extLst>
              <a:ext uri="{FF2B5EF4-FFF2-40B4-BE49-F238E27FC236}">
                <a16:creationId xmlns:a16="http://schemas.microsoft.com/office/drawing/2014/main" id="{9C963C73-5CDE-F4A9-4ABD-2109CA5AF28E}"/>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41" name="Group 40">
            <a:extLst>
              <a:ext uri="{FF2B5EF4-FFF2-40B4-BE49-F238E27FC236}">
                <a16:creationId xmlns:a16="http://schemas.microsoft.com/office/drawing/2014/main" id="{7DBE51E8-8BEB-E71A-71FA-CFC4B9518838}"/>
              </a:ext>
            </a:extLst>
          </xdr:cNvPr>
          <xdr:cNvGrpSpPr/>
        </xdr:nvGrpSpPr>
        <xdr:grpSpPr>
          <a:xfrm>
            <a:off x="2883469" y="2287838"/>
            <a:ext cx="2974406" cy="876300"/>
            <a:chOff x="2876550" y="2260238"/>
            <a:chExt cx="2974406" cy="876300"/>
          </a:xfrm>
        </xdr:grpSpPr>
        <xdr:grpSp>
          <xdr:nvGrpSpPr>
            <xdr:cNvPr id="42" name="Group 41">
              <a:extLst>
                <a:ext uri="{FF2B5EF4-FFF2-40B4-BE49-F238E27FC236}">
                  <a16:creationId xmlns:a16="http://schemas.microsoft.com/office/drawing/2014/main" id="{2F9877BA-3514-3672-D5B0-59ECC5FD46ED}"/>
                </a:ext>
              </a:extLst>
            </xdr:cNvPr>
            <xdr:cNvGrpSpPr/>
          </xdr:nvGrpSpPr>
          <xdr:grpSpPr>
            <a:xfrm>
              <a:off x="3450657" y="2260238"/>
              <a:ext cx="2400299" cy="876300"/>
              <a:chOff x="3650682" y="2257425"/>
              <a:chExt cx="2400299" cy="876300"/>
            </a:xfrm>
          </xdr:grpSpPr>
          <xdr:sp macro="" textlink="Supporting_Pivots!$K$21">
            <xdr:nvSpPr>
              <xdr:cNvPr id="44" name="TextBox 43">
                <a:extLst>
                  <a:ext uri="{FF2B5EF4-FFF2-40B4-BE49-F238E27FC236}">
                    <a16:creationId xmlns:a16="http://schemas.microsoft.com/office/drawing/2014/main" id="{A27BDC4E-40CF-4079-BCE9-688A6D0F5092}"/>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7B655F-3080-451E-9752-53E2FD19F79E}" type="TxLink">
                  <a:rPr lang="en-US" sz="3200" b="1" i="0" u="none" strike="noStrike">
                    <a:solidFill>
                      <a:schemeClr val="accent1"/>
                    </a:solidFill>
                    <a:latin typeface="Segoe UI"/>
                    <a:cs typeface="Segoe UI"/>
                  </a:rPr>
                  <a:pPr algn="ctr"/>
                  <a:t>$ 1.23K</a:t>
                </a:fld>
                <a:endParaRPr lang="en-MY" sz="3200" b="1">
                  <a:solidFill>
                    <a:schemeClr val="accent1"/>
                  </a:solidFill>
                </a:endParaRPr>
              </a:p>
            </xdr:txBody>
          </xdr:sp>
          <xdr:sp macro="" textlink="Supporting_Pivots!$B$21">
            <xdr:nvSpPr>
              <xdr:cNvPr id="45" name="TextBox 44">
                <a:extLst>
                  <a:ext uri="{FF2B5EF4-FFF2-40B4-BE49-F238E27FC236}">
                    <a16:creationId xmlns:a16="http://schemas.microsoft.com/office/drawing/2014/main" id="{1A0D1DA3-13EE-92BA-43E9-8020ACDF04F3}"/>
                  </a:ext>
                </a:extLst>
              </xdr:cNvPr>
              <xdr:cNvSpPr txBox="1"/>
            </xdr:nvSpPr>
            <xdr:spPr>
              <a:xfrm>
                <a:off x="3650682" y="2257425"/>
                <a:ext cx="2400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Average Order Value</a:t>
                </a:r>
                <a:endParaRPr lang="en-MY" sz="1600" b="1">
                  <a:solidFill>
                    <a:schemeClr val="tx1"/>
                  </a:solidFill>
                </a:endParaRPr>
              </a:p>
            </xdr:txBody>
          </xdr:sp>
        </xdr:grpSp>
        <xdr:pic>
          <xdr:nvPicPr>
            <xdr:cNvPr id="43" name="Graphic 42" descr="Label with solid fill">
              <a:extLst>
                <a:ext uri="{FF2B5EF4-FFF2-40B4-BE49-F238E27FC236}">
                  <a16:creationId xmlns:a16="http://schemas.microsoft.com/office/drawing/2014/main" id="{BD374A9A-D10C-0535-7508-E56E808687D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876550" y="2343150"/>
              <a:ext cx="720000" cy="720000"/>
            </a:xfrm>
            <a:prstGeom prst="rect">
              <a:avLst/>
            </a:prstGeom>
          </xdr:spPr>
        </xdr:pic>
      </xdr:grpSp>
    </xdr:grpSp>
    <xdr:clientData/>
  </xdr:twoCellAnchor>
  <xdr:twoCellAnchor editAs="oneCell">
    <xdr:from>
      <xdr:col>22</xdr:col>
      <xdr:colOff>295275</xdr:colOff>
      <xdr:row>0</xdr:row>
      <xdr:rowOff>38100</xdr:rowOff>
    </xdr:from>
    <xdr:to>
      <xdr:col>22</xdr:col>
      <xdr:colOff>655275</xdr:colOff>
      <xdr:row>1</xdr:row>
      <xdr:rowOff>188550</xdr:rowOff>
    </xdr:to>
    <xdr:pic>
      <xdr:nvPicPr>
        <xdr:cNvPr id="47" name="Graphic 46" descr="Monthly calendar with solid fill">
          <a:extLst>
            <a:ext uri="{FF2B5EF4-FFF2-40B4-BE49-F238E27FC236}">
              <a16:creationId xmlns:a16="http://schemas.microsoft.com/office/drawing/2014/main" id="{B3F6D255-B817-BAB2-CB28-2F06D29249F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382875" y="38100"/>
          <a:ext cx="360000" cy="360000"/>
        </a:xfrm>
        <a:prstGeom prst="rect">
          <a:avLst/>
        </a:prstGeom>
      </xdr:spPr>
    </xdr:pic>
    <xdr:clientData/>
  </xdr:twoCellAnchor>
  <xdr:twoCellAnchor editAs="oneCell">
    <xdr:from>
      <xdr:col>1</xdr:col>
      <xdr:colOff>85725</xdr:colOff>
      <xdr:row>0</xdr:row>
      <xdr:rowOff>123825</xdr:rowOff>
    </xdr:from>
    <xdr:to>
      <xdr:col>1</xdr:col>
      <xdr:colOff>445725</xdr:colOff>
      <xdr:row>2</xdr:row>
      <xdr:rowOff>64725</xdr:rowOff>
    </xdr:to>
    <xdr:pic>
      <xdr:nvPicPr>
        <xdr:cNvPr id="49" name="Picture 48">
          <a:extLst>
            <a:ext uri="{FF2B5EF4-FFF2-40B4-BE49-F238E27FC236}">
              <a16:creationId xmlns:a16="http://schemas.microsoft.com/office/drawing/2014/main" id="{8BE47E9D-7555-1C3C-7815-3CC2ADEF693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71525" y="123825"/>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Xin Margerate Tan" refreshedDate="46217.797026157408" createdVersion="8" refreshedVersion="8" minRefreshableVersion="3" recordCount="2000" xr:uid="{8800120D-35E0-4BB9-A40F-14EE19F2F109}">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1152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7D84C9-04D0-4522-84F4-FE170B484612}" name="PT06_Revenue_by_Region"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
  <location ref="E27:F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46ABF8-C603-48CC-B48D-DF11E4747495}" name="PT02_Total_Orders"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E20:E21"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B283C0-4D86-4B8B-99BF-908A7A3521C7}" name="PT04_Average_Order_Value"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K20:K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E6E6E0-AD13-4BD6-A7EF-048FBFCAECC2}" name="PT07_Revenue_by_Category"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6">
  <location ref="H27:I3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0F53E3-F788-41B9-86E1-1E326CCCC016}" name="PT03_Total_Quantity"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H20:H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4216B2-A707-4F2C-B1BE-1DA69D2B690F}" name="PT08_Revenue_by_Channel"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
  <location ref="K27:L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FE22B6-BCA5-4B78-927F-D8BE2CABA0B6}" name="PT01_Total_Revenue"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location ref="B20:B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88BDBF-A501-4D56-BB06-CE5D3CF1CDAD}" name="PT05_Revenue_by_Month"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
  <location ref="B27:C4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C037D9-3C26-4E87-8338-2231F31B73D3}" name="PT09_Top_5_Products"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4">
  <location ref="N27:O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35E2E0-D045-439F-A8A5-915583BDC1A2}" sourceName="Region">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8EB0014-FD83-4FD9-BCC6-06441E017FB6}" sourceName="Sales Channel">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8D4EB8E-49BD-4BB6-877B-BCF6EDF42A0F}" sourceName="Customer Typ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8A2ADDB-B49A-4922-AD00-BB83397CB239}" sourceName="Product Category">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922565-D202-48F2-A823-25C03C9E020A}" cache="Slicer_Region" caption="Region" lockedPosition="1" rowHeight="273050"/>
  <slicer name="Sales Channel" xr10:uid="{F1D38B12-1F61-4764-9975-06CEA56C8CDC}" cache="Slicer_Sales_Channel" caption="Sales Channel" lockedPosition="1" rowHeight="273050"/>
  <slicer name="Customer Type" xr10:uid="{2E9E3244-12AE-452F-9ED5-AA5AFC355E62}" cache="Slicer_Customer_Type" caption="Customer Type" lockedPosition="1" rowHeight="273050"/>
  <slicer name="Product Category" xr10:uid="{36944D34-03BE-407B-8C21-4C8370C42836}" cache="Slicer_Product_Category" caption="Product Category"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autoFilter ref="A1:L2001" xr:uid="{00000000-0001-0000-0000-000000000000}"/>
  <tableColumns count="12">
    <tableColumn id="1" xr3:uid="{EB25C69A-A2D3-4200-91EA-8E3165AF9E00}" name="Order ID"/>
    <tableColumn id="2" xr3:uid="{179518F6-FD6A-41B7-AE5E-75D1AB1D0993}" name="Date" dataDxfId="3"/>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9"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C046F57-0FA8-4B8A-851C-7D8D404365BC}" sourceName="Dat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state minimalRefreshVersion="6" lastRefreshVersion="6" pivotCacheId="19115218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672C44-5BFA-4633-A26A-2844461C3F7C}" cache="NativeTimeline_Date" caption="Years" level="0" selectionLevel="0" scrollPosition="2026-01-01T00:00:00"/>
  <timeline name="Date 1" xr10:uid="{E345B8D6-79C5-4D1C-9B32-EF8FF0EF772C}" cache="NativeTimeline_Date" caption="Days" level="3" selectionLevel="3" scrollPosition="2026-04-05T00:00:00"/>
  <timeline name="Date 2" xr10:uid="{5088C8B2-B944-4D2F-8C81-293595DBA61A}" cache="NativeTimeline_Date" caption="Months" level="2" selectionLevel="2" scrollPosition="2026-01-01T00:00:00"/>
  <timeline name="Date 3" xr10:uid="{52A37220-CD15-4C2D-A90C-942AF3515550}" cache="NativeTimeline_Date" caption="Quarters" level="1" selectionLevel="1" scrollPosition="2026-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665B-3D69-4E2E-980C-B29877975EBA}">
  <dimension ref="B1:J13"/>
  <sheetViews>
    <sheetView showGridLines="0" showRowColHeaders="0" zoomScale="90" zoomScaleNormal="90" workbookViewId="0">
      <selection activeCell="E13" sqref="E13"/>
    </sheetView>
  </sheetViews>
  <sheetFormatPr defaultRowHeight="16.5"/>
  <cols>
    <col min="1" max="1" width="2.5" customWidth="1"/>
    <col min="2" max="2" width="22.75" customWidth="1"/>
    <col min="3" max="3" width="29.625" customWidth="1"/>
    <col min="4" max="4" width="3.75" customWidth="1"/>
    <col min="5" max="5" width="39.875" customWidth="1"/>
    <col min="6" max="6" width="34.875" customWidth="1"/>
    <col min="7" max="7" width="3.875" customWidth="1"/>
    <col min="8" max="8" width="38" customWidth="1"/>
    <col min="9" max="9" width="27.375" customWidth="1"/>
    <col min="10" max="10" width="26.125" customWidth="1"/>
  </cols>
  <sheetData>
    <row r="1" spans="2:10" ht="30.75">
      <c r="B1" s="17" t="s">
        <v>2121</v>
      </c>
      <c r="C1" s="18"/>
      <c r="D1" s="18"/>
      <c r="E1" s="17" t="s">
        <v>2122</v>
      </c>
      <c r="F1" s="18"/>
      <c r="G1" s="18"/>
      <c r="H1" s="19" t="s">
        <v>2123</v>
      </c>
      <c r="I1" s="18"/>
      <c r="J1" s="18"/>
    </row>
    <row r="2" spans="2:10" ht="25.5">
      <c r="B2" s="20" t="s">
        <v>2072</v>
      </c>
      <c r="C2" s="20" t="s">
        <v>2073</v>
      </c>
      <c r="D2" s="18"/>
      <c r="E2" s="20" t="s">
        <v>2085</v>
      </c>
      <c r="F2" s="20" t="s">
        <v>2086</v>
      </c>
      <c r="G2" s="18"/>
      <c r="H2" s="20" t="s">
        <v>2099</v>
      </c>
      <c r="I2" s="20" t="s">
        <v>2100</v>
      </c>
      <c r="J2" s="20" t="s">
        <v>2101</v>
      </c>
    </row>
    <row r="3" spans="2:10" ht="51">
      <c r="B3" s="21" t="s">
        <v>0</v>
      </c>
      <c r="C3" s="21" t="s">
        <v>2074</v>
      </c>
      <c r="D3" s="18"/>
      <c r="E3" s="21" t="s">
        <v>2087</v>
      </c>
      <c r="F3" s="21" t="s">
        <v>2088</v>
      </c>
      <c r="G3" s="18"/>
      <c r="H3" s="21" t="s">
        <v>2102</v>
      </c>
      <c r="I3" s="21" t="s">
        <v>2102</v>
      </c>
      <c r="J3" s="21" t="s">
        <v>11</v>
      </c>
    </row>
    <row r="4" spans="2:10" ht="51">
      <c r="B4" s="21" t="s">
        <v>1</v>
      </c>
      <c r="C4" s="21" t="s">
        <v>2075</v>
      </c>
      <c r="D4" s="18"/>
      <c r="E4" s="21" t="s">
        <v>2089</v>
      </c>
      <c r="F4" s="21" t="s">
        <v>2090</v>
      </c>
      <c r="G4" s="18"/>
      <c r="H4" s="21" t="s">
        <v>2103</v>
      </c>
      <c r="I4" s="21" t="s">
        <v>2103</v>
      </c>
      <c r="J4" s="21" t="s">
        <v>0</v>
      </c>
    </row>
    <row r="5" spans="2:10" ht="51">
      <c r="B5" s="21" t="s">
        <v>2</v>
      </c>
      <c r="C5" s="21" t="s">
        <v>2076</v>
      </c>
      <c r="D5" s="18"/>
      <c r="E5" s="21" t="s">
        <v>2091</v>
      </c>
      <c r="F5" s="21" t="s">
        <v>2092</v>
      </c>
      <c r="G5" s="18"/>
      <c r="H5" s="21" t="s">
        <v>2104</v>
      </c>
      <c r="I5" s="21" t="s">
        <v>2105</v>
      </c>
      <c r="J5" s="21" t="s">
        <v>8</v>
      </c>
    </row>
    <row r="6" spans="2:10" ht="51">
      <c r="B6" s="21" t="s">
        <v>3</v>
      </c>
      <c r="C6" s="21" t="s">
        <v>2077</v>
      </c>
      <c r="D6" s="18"/>
      <c r="E6" s="21" t="s">
        <v>2093</v>
      </c>
      <c r="F6" s="21" t="s">
        <v>2094</v>
      </c>
      <c r="G6" s="18"/>
      <c r="H6" s="21" t="s">
        <v>2106</v>
      </c>
      <c r="I6" s="21" t="s">
        <v>2106</v>
      </c>
      <c r="J6" s="21" t="s">
        <v>11</v>
      </c>
    </row>
    <row r="7" spans="2:10" ht="51">
      <c r="B7" s="21" t="s">
        <v>4</v>
      </c>
      <c r="C7" s="21" t="s">
        <v>2078</v>
      </c>
      <c r="D7" s="18"/>
      <c r="E7" s="21" t="s">
        <v>2095</v>
      </c>
      <c r="F7" s="21" t="s">
        <v>2096</v>
      </c>
      <c r="G7" s="18"/>
      <c r="H7" s="21" t="s">
        <v>2107</v>
      </c>
      <c r="I7" s="21" t="s">
        <v>2108</v>
      </c>
      <c r="J7" s="21" t="s">
        <v>2109</v>
      </c>
    </row>
    <row r="8" spans="2:10" ht="25.5">
      <c r="B8" s="21" t="s">
        <v>5</v>
      </c>
      <c r="C8" s="21" t="s">
        <v>2079</v>
      </c>
      <c r="D8" s="18"/>
      <c r="E8" s="21" t="s">
        <v>2097</v>
      </c>
      <c r="F8" s="21" t="s">
        <v>2098</v>
      </c>
      <c r="G8" s="18"/>
      <c r="H8" s="21" t="s">
        <v>2110</v>
      </c>
      <c r="I8" s="21" t="s">
        <v>2111</v>
      </c>
      <c r="J8" s="21" t="s">
        <v>2112</v>
      </c>
    </row>
    <row r="9" spans="2:10" ht="51">
      <c r="B9" s="21" t="s">
        <v>6</v>
      </c>
      <c r="C9" s="21" t="s">
        <v>2080</v>
      </c>
      <c r="D9" s="18"/>
      <c r="E9" s="18"/>
      <c r="F9" s="18"/>
      <c r="G9" s="18"/>
      <c r="H9" s="21" t="s">
        <v>2113</v>
      </c>
      <c r="I9" s="21" t="s">
        <v>2114</v>
      </c>
      <c r="J9" s="21" t="s">
        <v>2115</v>
      </c>
    </row>
    <row r="10" spans="2:10" ht="51">
      <c r="B10" s="21" t="s">
        <v>8</v>
      </c>
      <c r="C10" s="21" t="s">
        <v>2081</v>
      </c>
      <c r="D10" s="18"/>
      <c r="E10" s="18"/>
      <c r="F10" s="18"/>
      <c r="G10" s="18"/>
      <c r="H10" s="21" t="s">
        <v>2116</v>
      </c>
      <c r="I10" s="21" t="s">
        <v>2117</v>
      </c>
      <c r="J10" s="21" t="s">
        <v>2118</v>
      </c>
    </row>
    <row r="11" spans="2:10" ht="51">
      <c r="B11" s="21" t="s">
        <v>9</v>
      </c>
      <c r="C11" s="21" t="s">
        <v>2082</v>
      </c>
      <c r="D11" s="18"/>
      <c r="E11" s="18"/>
      <c r="F11" s="18"/>
      <c r="G11" s="18"/>
      <c r="H11" s="21" t="s">
        <v>2119</v>
      </c>
      <c r="I11" s="21" t="s">
        <v>2124</v>
      </c>
      <c r="J11" s="21" t="s">
        <v>2120</v>
      </c>
    </row>
    <row r="12" spans="2:10" ht="25.5">
      <c r="B12" s="21" t="s">
        <v>10</v>
      </c>
      <c r="C12" s="21" t="s">
        <v>2083</v>
      </c>
      <c r="D12" s="18"/>
      <c r="E12" s="18"/>
      <c r="F12" s="18"/>
      <c r="G12" s="18"/>
      <c r="H12" s="18"/>
      <c r="I12" s="18"/>
      <c r="J12" s="18"/>
    </row>
    <row r="13" spans="2:10" ht="25.5">
      <c r="B13" s="21" t="s">
        <v>11</v>
      </c>
      <c r="C13" s="21" t="s">
        <v>2084</v>
      </c>
      <c r="D13" s="18"/>
      <c r="E13" s="18"/>
      <c r="F13" s="18"/>
      <c r="G13" s="18"/>
      <c r="H13" s="18"/>
      <c r="I13" s="18"/>
      <c r="J13"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zoomScale="140" zoomScaleNormal="140" workbookViewId="0">
      <selection activeCell="F5" sqref="F5"/>
    </sheetView>
  </sheetViews>
  <sheetFormatPr defaultRowHeight="16.5"/>
  <cols>
    <col min="1" max="1" width="10.625" bestFit="1" customWidth="1"/>
    <col min="2" max="2" width="10.375" style="1" bestFit="1" customWidth="1"/>
    <col min="3" max="3" width="9.25" bestFit="1" customWidth="1"/>
    <col min="4" max="4" width="15" bestFit="1" customWidth="1"/>
    <col min="5" max="5" width="16.5" bestFit="1" customWidth="1"/>
    <col min="6" max="6" width="18.5" bestFit="1" customWidth="1"/>
    <col min="7" max="7" width="18.25" bestFit="1" customWidth="1"/>
    <col min="8" max="8" width="13.5" bestFit="1" customWidth="1"/>
    <col min="9" max="9" width="10.75" bestFit="1" customWidth="1"/>
    <col min="10" max="10" width="11.625" style="2" bestFit="1" customWidth="1"/>
    <col min="11" max="11" width="10.875" style="3" bestFit="1" customWidth="1"/>
    <col min="12" max="12" width="10.6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1B03-3466-4363-B4D9-61FEB67846EB}">
  <dimension ref="B1:O40"/>
  <sheetViews>
    <sheetView showGridLines="0" showRowColHeaders="0" zoomScale="80" zoomScaleNormal="80" workbookViewId="0">
      <selection activeCell="C13" sqref="C13"/>
    </sheetView>
  </sheetViews>
  <sheetFormatPr defaultRowHeight="16.5"/>
  <cols>
    <col min="1" max="1" width="3.5" customWidth="1"/>
    <col min="2" max="2" width="13.25" bestFit="1" customWidth="1"/>
    <col min="3" max="3" width="15.75" bestFit="1" customWidth="1"/>
    <col min="5" max="5" width="13.25" bestFit="1" customWidth="1"/>
    <col min="6" max="6" width="15.75" bestFit="1" customWidth="1"/>
    <col min="8" max="8" width="13.625" bestFit="1" customWidth="1"/>
    <col min="9" max="9" width="15.75" bestFit="1" customWidth="1"/>
    <col min="11" max="11" width="14.125" bestFit="1" customWidth="1"/>
    <col min="12" max="12" width="15.75" bestFit="1" customWidth="1"/>
    <col min="14" max="14" width="16.375" bestFit="1" customWidth="1"/>
    <col min="15" max="15" width="15.75" bestFit="1" customWidth="1"/>
  </cols>
  <sheetData>
    <row r="1" spans="2:2" ht="30.75">
      <c r="B1" s="11" t="s">
        <v>2125</v>
      </c>
    </row>
    <row r="3" spans="2:2" ht="25.5">
      <c r="B3" s="10" t="s">
        <v>2146</v>
      </c>
    </row>
    <row r="4" spans="2:2" ht="20.25">
      <c r="B4" s="13" t="s">
        <v>2100</v>
      </c>
    </row>
    <row r="5" spans="2:2" ht="20.25">
      <c r="B5" s="14" t="s">
        <v>2102</v>
      </c>
    </row>
    <row r="6" spans="2:2" ht="20.25">
      <c r="B6" s="14" t="s">
        <v>2103</v>
      </c>
    </row>
    <row r="7" spans="2:2" ht="20.25">
      <c r="B7" s="14" t="s">
        <v>2105</v>
      </c>
    </row>
    <row r="8" spans="2:2" ht="20.25">
      <c r="B8" s="14" t="s">
        <v>2106</v>
      </c>
    </row>
    <row r="9" spans="2:2" ht="20.25">
      <c r="B9" s="14" t="s">
        <v>2108</v>
      </c>
    </row>
    <row r="10" spans="2:2" ht="20.25">
      <c r="B10" s="14" t="s">
        <v>2111</v>
      </c>
    </row>
    <row r="11" spans="2:2" ht="20.25">
      <c r="B11" s="14" t="s">
        <v>2114</v>
      </c>
    </row>
    <row r="12" spans="2:2" ht="20.25">
      <c r="B12" s="14" t="s">
        <v>2117</v>
      </c>
    </row>
    <row r="13" spans="2:2" ht="20.25">
      <c r="B13" s="14" t="s">
        <v>2124</v>
      </c>
    </row>
    <row r="17" spans="2:15" ht="25.5">
      <c r="B17" s="10" t="s">
        <v>2147</v>
      </c>
    </row>
    <row r="19" spans="2:15">
      <c r="B19" s="12" t="s">
        <v>2150</v>
      </c>
      <c r="E19" s="12" t="s">
        <v>2149</v>
      </c>
      <c r="H19" s="12" t="s">
        <v>2151</v>
      </c>
      <c r="K19" s="12" t="s">
        <v>2152</v>
      </c>
    </row>
    <row r="20" spans="2:15">
      <c r="B20" t="s">
        <v>2126</v>
      </c>
      <c r="E20" t="s">
        <v>2127</v>
      </c>
      <c r="H20" t="s">
        <v>2128</v>
      </c>
      <c r="K20" t="s">
        <v>2129</v>
      </c>
    </row>
    <row r="21" spans="2:15">
      <c r="B21" s="15">
        <v>2452084.3012999957</v>
      </c>
      <c r="E21" s="22">
        <v>2000</v>
      </c>
      <c r="H21" s="22">
        <v>5552</v>
      </c>
      <c r="K21" s="15">
        <v>1226.0421506499979</v>
      </c>
    </row>
    <row r="24" spans="2:15" ht="25.5">
      <c r="B24" s="10" t="s">
        <v>2148</v>
      </c>
    </row>
    <row r="26" spans="2:15">
      <c r="B26" s="12" t="s">
        <v>2153</v>
      </c>
      <c r="E26" s="12" t="s">
        <v>2154</v>
      </c>
      <c r="H26" s="12" t="s">
        <v>2155</v>
      </c>
      <c r="K26" s="12" t="s">
        <v>2156</v>
      </c>
      <c r="N26" s="12" t="s">
        <v>2157</v>
      </c>
    </row>
    <row r="27" spans="2:15">
      <c r="B27" s="5" t="s">
        <v>2130</v>
      </c>
      <c r="C27" t="s">
        <v>2126</v>
      </c>
      <c r="E27" s="5" t="s">
        <v>2130</v>
      </c>
      <c r="F27" t="s">
        <v>2126</v>
      </c>
      <c r="H27" s="5" t="s">
        <v>2130</v>
      </c>
      <c r="I27" t="s">
        <v>2126</v>
      </c>
      <c r="K27" s="5" t="s">
        <v>2130</v>
      </c>
      <c r="L27" t="s">
        <v>2126</v>
      </c>
      <c r="N27" s="5" t="s">
        <v>2130</v>
      </c>
      <c r="O27" t="s">
        <v>2126</v>
      </c>
    </row>
    <row r="28" spans="2:15">
      <c r="B28" s="6" t="s">
        <v>2132</v>
      </c>
      <c r="C28" s="4">
        <v>168680.62810000006</v>
      </c>
      <c r="E28" s="6" t="s">
        <v>47</v>
      </c>
      <c r="F28" s="4">
        <v>556705.17709999974</v>
      </c>
      <c r="H28" s="6" t="s">
        <v>48</v>
      </c>
      <c r="I28" s="4">
        <v>1346491.2599999995</v>
      </c>
      <c r="K28" s="6" t="s">
        <v>35</v>
      </c>
      <c r="L28" s="4">
        <v>718745.00499999954</v>
      </c>
      <c r="N28" s="6" t="s">
        <v>49</v>
      </c>
      <c r="O28" s="4">
        <v>432576.06000000017</v>
      </c>
    </row>
    <row r="29" spans="2:15">
      <c r="B29" s="6" t="s">
        <v>2133</v>
      </c>
      <c r="C29" s="4">
        <v>173605.24770000001</v>
      </c>
      <c r="E29" s="6" t="s">
        <v>20</v>
      </c>
      <c r="F29" s="4">
        <v>467808.84970000037</v>
      </c>
      <c r="H29" s="6" t="s">
        <v>60</v>
      </c>
      <c r="I29" s="4">
        <v>526744.59000000008</v>
      </c>
      <c r="K29" s="6" t="s">
        <v>41</v>
      </c>
      <c r="L29" s="4">
        <v>310402.93139999988</v>
      </c>
      <c r="N29" s="6" t="s">
        <v>96</v>
      </c>
      <c r="O29" s="4">
        <v>273532.5</v>
      </c>
    </row>
    <row r="30" spans="2:15">
      <c r="B30" s="6" t="s">
        <v>2134</v>
      </c>
      <c r="C30" s="4">
        <v>236738.69749999995</v>
      </c>
      <c r="E30" s="6" t="s">
        <v>31</v>
      </c>
      <c r="F30" s="4">
        <v>561753.72460000007</v>
      </c>
      <c r="H30" s="6" t="s">
        <v>27</v>
      </c>
      <c r="I30" s="4">
        <v>259475.30900000001</v>
      </c>
      <c r="K30" s="6" t="s">
        <v>14</v>
      </c>
      <c r="L30" s="4">
        <v>791536.99460000044</v>
      </c>
      <c r="N30" s="6" t="s">
        <v>71</v>
      </c>
      <c r="O30" s="4">
        <v>263486.39999999991</v>
      </c>
    </row>
    <row r="31" spans="2:15">
      <c r="B31" s="6" t="s">
        <v>2135</v>
      </c>
      <c r="C31" s="4">
        <v>241034.34019999998</v>
      </c>
      <c r="E31" s="6" t="s">
        <v>86</v>
      </c>
      <c r="F31" s="4">
        <v>444494.30199999973</v>
      </c>
      <c r="H31" s="6" t="s">
        <v>23</v>
      </c>
      <c r="I31" s="4">
        <v>229837.62600000011</v>
      </c>
      <c r="K31" s="6" t="s">
        <v>21</v>
      </c>
      <c r="L31" s="4">
        <v>631399.37030000018</v>
      </c>
      <c r="N31" s="6" t="s">
        <v>99</v>
      </c>
      <c r="O31" s="4">
        <v>254994.00000000003</v>
      </c>
    </row>
    <row r="32" spans="2:15">
      <c r="B32" s="6" t="s">
        <v>2136</v>
      </c>
      <c r="C32" s="4">
        <v>153642.42719999998</v>
      </c>
      <c r="E32" s="6" t="s">
        <v>13</v>
      </c>
      <c r="F32" s="4">
        <v>421322.24789999996</v>
      </c>
      <c r="H32" s="6" t="s">
        <v>16</v>
      </c>
      <c r="I32" s="4">
        <v>72895.258099999992</v>
      </c>
      <c r="K32" s="6" t="s">
        <v>2131</v>
      </c>
      <c r="L32" s="4">
        <v>2452084.3012999999</v>
      </c>
      <c r="N32" s="6" t="s">
        <v>67</v>
      </c>
      <c r="O32" s="4">
        <v>190959.45000000004</v>
      </c>
    </row>
    <row r="33" spans="2:15">
      <c r="B33" s="6" t="s">
        <v>2137</v>
      </c>
      <c r="C33" s="4">
        <v>258658.95200000011</v>
      </c>
      <c r="E33" s="6" t="s">
        <v>2131</v>
      </c>
      <c r="F33" s="4">
        <v>2452084.3012999999</v>
      </c>
      <c r="H33" s="6" t="s">
        <v>73</v>
      </c>
      <c r="I33" s="4">
        <v>16640.258200000007</v>
      </c>
      <c r="N33" s="6" t="s">
        <v>2131</v>
      </c>
      <c r="O33" s="4">
        <v>1415548.41</v>
      </c>
    </row>
    <row r="34" spans="2:15">
      <c r="B34" s="6" t="s">
        <v>2138</v>
      </c>
      <c r="C34" s="4">
        <v>150713.13980000003</v>
      </c>
      <c r="H34" s="6" t="s">
        <v>2131</v>
      </c>
      <c r="I34" s="4">
        <v>2452084.3012999999</v>
      </c>
    </row>
    <row r="35" spans="2:15">
      <c r="B35" s="6" t="s">
        <v>2139</v>
      </c>
      <c r="C35" s="4">
        <v>185321.6210000001</v>
      </c>
    </row>
    <row r="36" spans="2:15">
      <c r="B36" s="6" t="s">
        <v>2140</v>
      </c>
      <c r="C36" s="4">
        <v>233080.36130000014</v>
      </c>
    </row>
    <row r="37" spans="2:15">
      <c r="B37" s="6" t="s">
        <v>2141</v>
      </c>
      <c r="C37" s="4">
        <v>189721.56950000001</v>
      </c>
    </row>
    <row r="38" spans="2:15">
      <c r="B38" s="6" t="s">
        <v>2142</v>
      </c>
      <c r="C38" s="4">
        <v>274368.30580000003</v>
      </c>
    </row>
    <row r="39" spans="2:15">
      <c r="B39" s="6" t="s">
        <v>2143</v>
      </c>
      <c r="C39" s="4">
        <v>186519.01119999995</v>
      </c>
    </row>
    <row r="40" spans="2:15">
      <c r="B40" s="6" t="s">
        <v>2131</v>
      </c>
      <c r="C40" s="4">
        <v>2452084.3013000004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894C-16CA-4E96-A07D-FD50FA64F7C5}">
  <dimension ref="A1:Z3"/>
  <sheetViews>
    <sheetView showGridLines="0" showRowColHeaders="0" tabSelected="1" zoomScale="80" zoomScaleNormal="80" workbookViewId="0">
      <selection activeCell="B55" sqref="B55"/>
    </sheetView>
  </sheetViews>
  <sheetFormatPr defaultRowHeight="16.5"/>
  <cols>
    <col min="24" max="24" width="10.375" bestFit="1" customWidth="1"/>
  </cols>
  <sheetData>
    <row r="1" spans="1:26">
      <c r="A1" s="7"/>
      <c r="B1" s="7"/>
      <c r="C1" s="7"/>
      <c r="D1" s="7"/>
      <c r="E1" s="16" t="s">
        <v>2145</v>
      </c>
      <c r="F1" s="16"/>
      <c r="G1" s="16"/>
      <c r="H1" s="16"/>
      <c r="I1" s="16"/>
      <c r="J1" s="16"/>
      <c r="K1" s="16"/>
      <c r="L1" s="16"/>
      <c r="M1" s="16"/>
      <c r="N1" s="16"/>
      <c r="O1" s="16"/>
      <c r="P1" s="16"/>
      <c r="Q1" s="16"/>
      <c r="R1" s="16"/>
      <c r="S1" s="16"/>
      <c r="T1" s="16"/>
      <c r="U1" s="16"/>
      <c r="V1" s="16"/>
      <c r="W1" s="7"/>
      <c r="X1" s="8" t="s">
        <v>2144</v>
      </c>
      <c r="Y1" s="7"/>
      <c r="Z1" s="7"/>
    </row>
    <row r="2" spans="1:26">
      <c r="A2" s="7"/>
      <c r="B2" s="7"/>
      <c r="C2" s="7"/>
      <c r="D2" s="7"/>
      <c r="E2" s="16"/>
      <c r="F2" s="16"/>
      <c r="G2" s="16"/>
      <c r="H2" s="16"/>
      <c r="I2" s="16"/>
      <c r="J2" s="16"/>
      <c r="K2" s="16"/>
      <c r="L2" s="16"/>
      <c r="M2" s="16"/>
      <c r="N2" s="16"/>
      <c r="O2" s="16"/>
      <c r="P2" s="16"/>
      <c r="Q2" s="16"/>
      <c r="R2" s="16"/>
      <c r="S2" s="16"/>
      <c r="T2" s="16"/>
      <c r="U2" s="16"/>
      <c r="V2" s="16"/>
      <c r="W2" s="7"/>
      <c r="X2" s="9">
        <f>MAX(Sales_Data[Date])</f>
        <v>46387</v>
      </c>
      <c r="Y2" s="7"/>
      <c r="Z2" s="7"/>
    </row>
    <row r="3" spans="1:26">
      <c r="A3" s="7"/>
      <c r="B3" s="7"/>
      <c r="C3" s="7"/>
      <c r="D3" s="7"/>
      <c r="E3" s="16"/>
      <c r="F3" s="16"/>
      <c r="G3" s="16"/>
      <c r="H3" s="16"/>
      <c r="I3" s="16"/>
      <c r="J3" s="16"/>
      <c r="K3" s="16"/>
      <c r="L3" s="16"/>
      <c r="M3" s="16"/>
      <c r="N3" s="16"/>
      <c r="O3" s="16"/>
      <c r="P3" s="16"/>
      <c r="Q3" s="16"/>
      <c r="R3" s="16"/>
      <c r="S3" s="16"/>
      <c r="T3" s="16"/>
      <c r="U3" s="16"/>
      <c r="V3" s="16"/>
      <c r="W3" s="7"/>
      <c r="X3" s="7"/>
      <c r="Y3" s="7"/>
      <c r="Z3" s="7"/>
    </row>
  </sheetData>
  <sheetProtection sheet="1" objects="1" scenarios="1" selectLockedCells="1" autoFilter="0"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Dashboard_Plan</vt:lpstr>
      <vt:lpstr>Sales_Data</vt:lpstr>
      <vt:lpstr>Supporting_Pivots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ansarifareed1995@gmail.com</cp:lastModifiedBy>
  <dcterms:created xsi:type="dcterms:W3CDTF">2015-06-05T18:17:20Z</dcterms:created>
  <dcterms:modified xsi:type="dcterms:W3CDTF">2026-09-29T07:13:05Z</dcterms:modified>
</cp:coreProperties>
</file>